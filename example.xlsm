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c8e39b3f0b9f75/Pulpit/ejNati/"/>
    </mc:Choice>
  </mc:AlternateContent>
  <xr:revisionPtr revIDLastSave="763" documentId="8_{E773621D-1DCC-49E4-9E8D-0136D9763906}" xr6:coauthVersionLast="47" xr6:coauthVersionMax="47" xr10:uidLastSave="{17BEEE87-8E16-4C7D-AD2D-35956751123C}"/>
  <bookViews>
    <workbookView xWindow="-120" yWindow="-120" windowWidth="29040" windowHeight="15720" activeTab="6" xr2:uid="{00000000-000D-0000-FFFF-FFFF00000000}"/>
  </bookViews>
  <sheets>
    <sheet name="Poniedzialek" sheetId="3" r:id="rId1"/>
    <sheet name="Wtorek" sheetId="6" r:id="rId2"/>
    <sheet name="Sroda" sheetId="7" r:id="rId3"/>
    <sheet name="Czwartek" sheetId="8" r:id="rId4"/>
    <sheet name="Piatek" sheetId="9" r:id="rId5"/>
    <sheet name="Sobota" sheetId="10" r:id="rId6"/>
    <sheet name="Kursantki" sheetId="1" r:id="rId7"/>
    <sheet name="Grupy" sheetId="2" r:id="rId8"/>
    <sheet name="Platnosc" sheetId="4" r:id="rId9"/>
  </sheets>
  <definedNames>
    <definedName name="_xlnm._FilterDatabase" localSheetId="3" hidden="1">Czwartek!$A$1:$F$27</definedName>
    <definedName name="_xlnm._FilterDatabase" localSheetId="4" hidden="1">Piatek!$A$1:$F$27</definedName>
    <definedName name="_xlnm._FilterDatabase" localSheetId="8" hidden="1">Platnosc!$A$1:$I$161</definedName>
    <definedName name="_xlnm._FilterDatabase" localSheetId="0" hidden="1">Poniedzialek!$A$1:$F$43</definedName>
    <definedName name="_xlnm._FilterDatabase" localSheetId="5" hidden="1">Sobota!$A$1:$F$27</definedName>
    <definedName name="_xlnm._FilterDatabase" localSheetId="2" hidden="1">Sroda!$A$1:$F$27</definedName>
    <definedName name="_xlnm._FilterDatabase" localSheetId="1" hidden="1">Wtorek!$A$1:$F$27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5" i="4" l="1"/>
  <c r="E135" i="4" s="1"/>
  <c r="B127" i="4"/>
  <c r="E127" i="4" s="1"/>
  <c r="B107" i="4"/>
  <c r="E107" i="4" s="1"/>
  <c r="B100" i="4"/>
  <c r="E100" i="4" s="1"/>
  <c r="B98" i="4"/>
  <c r="E98" i="4" s="1"/>
  <c r="B76" i="4"/>
  <c r="E76" i="4" s="1"/>
  <c r="B77" i="4"/>
  <c r="E77" i="4" s="1"/>
  <c r="B65" i="4"/>
  <c r="E65" i="4" s="1"/>
  <c r="B55" i="4"/>
  <c r="E55" i="4" s="1"/>
  <c r="B52" i="4"/>
  <c r="E52" i="4" s="1"/>
  <c r="B50" i="4"/>
  <c r="E50" i="4" s="1"/>
  <c r="B44" i="4"/>
  <c r="E44" i="4" s="1"/>
  <c r="B43" i="4"/>
  <c r="E43" i="4" s="1"/>
  <c r="B28" i="4"/>
  <c r="E28" i="4" s="1"/>
  <c r="B29" i="4"/>
  <c r="E29" i="4" s="1"/>
  <c r="B30" i="4"/>
  <c r="E30" i="4" s="1"/>
  <c r="B24" i="4"/>
  <c r="E24" i="4" s="1"/>
  <c r="B19" i="4"/>
  <c r="E19" i="4" s="1"/>
  <c r="B9" i="4"/>
  <c r="E9" i="4" s="1"/>
  <c r="B3" i="4"/>
  <c r="E3" i="4" s="1"/>
  <c r="B99" i="4"/>
  <c r="B27" i="4"/>
  <c r="B5" i="8" l="1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3" i="3"/>
  <c r="B4" i="3"/>
  <c r="B152" i="4" l="1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4" i="4"/>
  <c r="B133" i="4"/>
  <c r="B132" i="4"/>
  <c r="B131" i="4"/>
  <c r="B130" i="4"/>
  <c r="B129" i="4"/>
  <c r="B128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6" i="4"/>
  <c r="B105" i="4"/>
  <c r="B104" i="4"/>
  <c r="B103" i="4"/>
  <c r="B102" i="4"/>
  <c r="B101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5" i="4"/>
  <c r="B74" i="4"/>
  <c r="B73" i="4"/>
  <c r="B72" i="4"/>
  <c r="B71" i="4"/>
  <c r="B70" i="4"/>
  <c r="B69" i="4"/>
  <c r="B68" i="4"/>
  <c r="B67" i="4"/>
  <c r="B66" i="4"/>
  <c r="B64" i="4"/>
  <c r="B63" i="4"/>
  <c r="B62" i="4"/>
  <c r="B61" i="4"/>
  <c r="B60" i="4"/>
  <c r="B59" i="4"/>
  <c r="B58" i="4"/>
  <c r="B57" i="4"/>
  <c r="B56" i="4"/>
  <c r="B54" i="4"/>
  <c r="B53" i="4"/>
  <c r="B51" i="4"/>
  <c r="B49" i="4"/>
  <c r="B48" i="4"/>
  <c r="B47" i="4"/>
  <c r="B46" i="4"/>
  <c r="B45" i="4"/>
  <c r="B42" i="4"/>
  <c r="B41" i="4"/>
  <c r="B40" i="4"/>
  <c r="B39" i="4"/>
  <c r="B38" i="4"/>
  <c r="B37" i="4"/>
  <c r="B36" i="4"/>
  <c r="B35" i="4"/>
  <c r="B34" i="4"/>
  <c r="B33" i="4"/>
  <c r="B32" i="4"/>
  <c r="B31" i="4"/>
  <c r="B26" i="4"/>
  <c r="B25" i="4"/>
  <c r="B23" i="4"/>
  <c r="B22" i="4"/>
  <c r="B21" i="4"/>
  <c r="B20" i="4"/>
  <c r="B18" i="4"/>
  <c r="B17" i="4"/>
  <c r="B16" i="4"/>
  <c r="B15" i="4"/>
  <c r="B14" i="4"/>
  <c r="B13" i="4"/>
  <c r="B12" i="4"/>
  <c r="B11" i="4"/>
  <c r="B10" i="4"/>
  <c r="B8" i="4"/>
  <c r="B7" i="4"/>
  <c r="B6" i="4"/>
  <c r="B5" i="4"/>
  <c r="B4" i="4"/>
  <c r="B2" i="4"/>
  <c r="C10" i="7"/>
  <c r="F5" i="3" l="1"/>
  <c r="F11" i="3"/>
  <c r="F17" i="3"/>
  <c r="F23" i="3"/>
  <c r="F29" i="3"/>
  <c r="F35" i="3"/>
  <c r="F41" i="3"/>
  <c r="F47" i="3"/>
  <c r="F53" i="3"/>
  <c r="F59" i="3"/>
  <c r="F6" i="3"/>
  <c r="F12" i="3"/>
  <c r="F18" i="3"/>
  <c r="F24" i="3"/>
  <c r="F30" i="3"/>
  <c r="F36" i="3"/>
  <c r="F42" i="3"/>
  <c r="F48" i="3"/>
  <c r="F54" i="3"/>
  <c r="F60" i="3"/>
  <c r="F7" i="3"/>
  <c r="F13" i="3"/>
  <c r="F19" i="3"/>
  <c r="F25" i="3"/>
  <c r="F31" i="3"/>
  <c r="F37" i="3"/>
  <c r="F43" i="3"/>
  <c r="F49" i="3"/>
  <c r="F55" i="3"/>
  <c r="F8" i="3"/>
  <c r="F14" i="3"/>
  <c r="F20" i="3"/>
  <c r="F26" i="3"/>
  <c r="F32" i="3"/>
  <c r="F38" i="3"/>
  <c r="F44" i="3"/>
  <c r="F50" i="3"/>
  <c r="F56" i="3"/>
  <c r="F9" i="3"/>
  <c r="F15" i="3"/>
  <c r="F21" i="3"/>
  <c r="F27" i="3"/>
  <c r="F33" i="3"/>
  <c r="F39" i="3"/>
  <c r="F45" i="3"/>
  <c r="F51" i="3"/>
  <c r="F57" i="3"/>
  <c r="F10" i="3"/>
  <c r="F16" i="3"/>
  <c r="F22" i="3"/>
  <c r="F34" i="3"/>
  <c r="F40" i="3"/>
  <c r="F46" i="3"/>
  <c r="F52" i="3"/>
  <c r="F58" i="3"/>
  <c r="F32" i="8"/>
  <c r="F33" i="8"/>
  <c r="F25" i="8"/>
  <c r="F5" i="9"/>
  <c r="F13" i="9"/>
  <c r="F21" i="9"/>
  <c r="F5" i="7"/>
  <c r="F13" i="7"/>
  <c r="F21" i="7"/>
  <c r="F29" i="7"/>
  <c r="F6" i="9"/>
  <c r="F22" i="9"/>
  <c r="F6" i="7"/>
  <c r="F14" i="7"/>
  <c r="F22" i="7"/>
  <c r="F30" i="7"/>
  <c r="F31" i="7"/>
  <c r="F16" i="9"/>
  <c r="F32" i="7"/>
  <c r="F9" i="9"/>
  <c r="F17" i="9"/>
  <c r="F9" i="6"/>
  <c r="F17" i="6"/>
  <c r="F25" i="6"/>
  <c r="F19" i="6"/>
  <c r="F20" i="6"/>
  <c r="F28" i="6"/>
  <c r="F10" i="9"/>
  <c r="F18" i="9"/>
  <c r="F10" i="7"/>
  <c r="F18" i="7"/>
  <c r="F26" i="7"/>
  <c r="F10" i="6"/>
  <c r="F18" i="6"/>
  <c r="F26" i="6"/>
  <c r="F11" i="6"/>
  <c r="F27" i="6"/>
  <c r="F11" i="9"/>
  <c r="F19" i="9"/>
  <c r="F11" i="7"/>
  <c r="F19" i="7"/>
  <c r="F27" i="7"/>
  <c r="F12" i="9"/>
  <c r="F20" i="9"/>
  <c r="F12" i="7"/>
  <c r="F20" i="7"/>
  <c r="F28" i="7"/>
  <c r="F4" i="6"/>
  <c r="F8" i="6"/>
  <c r="F24" i="6"/>
  <c r="F5" i="6"/>
  <c r="F6" i="6"/>
  <c r="F16" i="6"/>
  <c r="F7" i="6"/>
  <c r="F23" i="6"/>
  <c r="B44" i="10"/>
  <c r="C44" i="10"/>
  <c r="D44" i="10"/>
  <c r="B45" i="10"/>
  <c r="C45" i="10"/>
  <c r="D45" i="10"/>
  <c r="B46" i="10"/>
  <c r="C46" i="10"/>
  <c r="D46" i="10"/>
  <c r="B47" i="10"/>
  <c r="C47" i="10"/>
  <c r="D47" i="10"/>
  <c r="B48" i="10"/>
  <c r="C48" i="10"/>
  <c r="D48" i="10"/>
  <c r="B49" i="10"/>
  <c r="C49" i="10"/>
  <c r="D49" i="10"/>
  <c r="B50" i="10"/>
  <c r="C50" i="10"/>
  <c r="D50" i="10"/>
  <c r="B51" i="10"/>
  <c r="C51" i="10"/>
  <c r="D51" i="10"/>
  <c r="B52" i="10"/>
  <c r="C52" i="10"/>
  <c r="D52" i="10"/>
  <c r="B53" i="10"/>
  <c r="C53" i="10"/>
  <c r="D53" i="10"/>
  <c r="B54" i="10"/>
  <c r="C54" i="10"/>
  <c r="D54" i="10"/>
  <c r="B55" i="10"/>
  <c r="C55" i="10"/>
  <c r="D55" i="10"/>
  <c r="B56" i="10"/>
  <c r="C56" i="10"/>
  <c r="D56" i="10"/>
  <c r="B57" i="10"/>
  <c r="C57" i="10"/>
  <c r="D57" i="10"/>
  <c r="B58" i="10"/>
  <c r="C58" i="10"/>
  <c r="D58" i="10"/>
  <c r="B59" i="10"/>
  <c r="C59" i="10"/>
  <c r="D59" i="10"/>
  <c r="B60" i="10"/>
  <c r="C60" i="10"/>
  <c r="D60" i="10"/>
  <c r="B60" i="9"/>
  <c r="C60" i="9"/>
  <c r="D60" i="9"/>
  <c r="B44" i="9"/>
  <c r="C44" i="9"/>
  <c r="D44" i="9"/>
  <c r="B45" i="9"/>
  <c r="C45" i="9"/>
  <c r="D45" i="9"/>
  <c r="B46" i="9"/>
  <c r="C46" i="9"/>
  <c r="D46" i="9"/>
  <c r="B47" i="9"/>
  <c r="C47" i="9"/>
  <c r="D47" i="9"/>
  <c r="B48" i="9"/>
  <c r="C48" i="9"/>
  <c r="D48" i="9"/>
  <c r="B49" i="9"/>
  <c r="C49" i="9"/>
  <c r="D49" i="9"/>
  <c r="B50" i="9"/>
  <c r="C50" i="9"/>
  <c r="D50" i="9"/>
  <c r="B51" i="9"/>
  <c r="C51" i="9"/>
  <c r="D51" i="9"/>
  <c r="B52" i="9"/>
  <c r="C52" i="9"/>
  <c r="D52" i="9"/>
  <c r="B53" i="9"/>
  <c r="C53" i="9"/>
  <c r="D53" i="9"/>
  <c r="B54" i="9"/>
  <c r="C54" i="9"/>
  <c r="D54" i="9"/>
  <c r="B55" i="9"/>
  <c r="C55" i="9"/>
  <c r="D55" i="9"/>
  <c r="B56" i="9"/>
  <c r="C56" i="9"/>
  <c r="D56" i="9"/>
  <c r="B57" i="9"/>
  <c r="C57" i="9"/>
  <c r="D57" i="9"/>
  <c r="B58" i="9"/>
  <c r="C58" i="9"/>
  <c r="D58" i="9"/>
  <c r="B59" i="9"/>
  <c r="C59" i="9"/>
  <c r="D59" i="9"/>
  <c r="B44" i="7"/>
  <c r="C44" i="7"/>
  <c r="D44" i="7"/>
  <c r="B45" i="7"/>
  <c r="C45" i="7"/>
  <c r="D45" i="7"/>
  <c r="B46" i="7"/>
  <c r="C46" i="7"/>
  <c r="D46" i="7"/>
  <c r="B47" i="7"/>
  <c r="C47" i="7"/>
  <c r="D47" i="7"/>
  <c r="B48" i="7"/>
  <c r="C48" i="7"/>
  <c r="D48" i="7"/>
  <c r="B49" i="7"/>
  <c r="C49" i="7"/>
  <c r="D49" i="7"/>
  <c r="B50" i="7"/>
  <c r="C50" i="7"/>
  <c r="D50" i="7"/>
  <c r="B51" i="7"/>
  <c r="C51" i="7"/>
  <c r="D51" i="7"/>
  <c r="B52" i="7"/>
  <c r="C52" i="7"/>
  <c r="D52" i="7"/>
  <c r="B53" i="7"/>
  <c r="C53" i="7"/>
  <c r="D53" i="7"/>
  <c r="B54" i="7"/>
  <c r="C54" i="7"/>
  <c r="D54" i="7"/>
  <c r="B55" i="7"/>
  <c r="C55" i="7"/>
  <c r="D55" i="7"/>
  <c r="B56" i="7"/>
  <c r="C56" i="7"/>
  <c r="D56" i="7"/>
  <c r="B57" i="7"/>
  <c r="C57" i="7"/>
  <c r="D57" i="7"/>
  <c r="B58" i="7"/>
  <c r="C58" i="7"/>
  <c r="D58" i="7"/>
  <c r="B59" i="7"/>
  <c r="C59" i="7"/>
  <c r="D59" i="7"/>
  <c r="B60" i="7"/>
  <c r="C60" i="7"/>
  <c r="D60" i="7"/>
  <c r="B43" i="6"/>
  <c r="C43" i="6"/>
  <c r="D43" i="6"/>
  <c r="B44" i="6"/>
  <c r="C44" i="6"/>
  <c r="D44" i="6"/>
  <c r="B45" i="6"/>
  <c r="C45" i="6"/>
  <c r="D45" i="6"/>
  <c r="B46" i="6"/>
  <c r="C46" i="6"/>
  <c r="D46" i="6"/>
  <c r="B47" i="6"/>
  <c r="C47" i="6"/>
  <c r="D47" i="6"/>
  <c r="B48" i="6"/>
  <c r="C48" i="6"/>
  <c r="D48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E145" i="4"/>
  <c r="E150" i="4"/>
  <c r="E152" i="4"/>
  <c r="F15" i="7" s="1"/>
  <c r="D3" i="3"/>
  <c r="D4" i="3"/>
  <c r="D2" i="3"/>
  <c r="F28" i="3" l="1"/>
  <c r="F29" i="8"/>
  <c r="F30" i="8"/>
  <c r="F14" i="8"/>
  <c r="F10" i="8"/>
  <c r="F27" i="8"/>
  <c r="F13" i="8"/>
  <c r="F26" i="8"/>
  <c r="F39" i="8"/>
  <c r="F28" i="8"/>
  <c r="F40" i="8"/>
  <c r="F41" i="8"/>
  <c r="F15" i="8"/>
  <c r="F12" i="8"/>
  <c r="F11" i="8"/>
  <c r="F20" i="8"/>
  <c r="F22" i="8"/>
  <c r="F24" i="8"/>
  <c r="F23" i="8"/>
  <c r="F31" i="8"/>
  <c r="F18" i="8"/>
  <c r="F17" i="8"/>
  <c r="F16" i="8"/>
  <c r="F19" i="8"/>
  <c r="F21" i="8"/>
  <c r="F9" i="8"/>
  <c r="F16" i="7"/>
  <c r="F21" i="6"/>
  <c r="F34" i="8"/>
  <c r="F7" i="9"/>
  <c r="F35" i="8"/>
  <c r="F8" i="9"/>
  <c r="F29" i="9"/>
  <c r="F37" i="8"/>
  <c r="F42" i="8"/>
  <c r="F17" i="7"/>
  <c r="F14" i="9"/>
  <c r="F7" i="7"/>
  <c r="F36" i="8"/>
  <c r="F8" i="7"/>
  <c r="F44" i="6"/>
  <c r="F53" i="8"/>
  <c r="F39" i="7"/>
  <c r="F50" i="9"/>
  <c r="F49" i="9"/>
  <c r="F51" i="9"/>
  <c r="F56" i="6"/>
  <c r="F43" i="9"/>
  <c r="F53" i="7"/>
  <c r="F55" i="6"/>
  <c r="F48" i="9"/>
  <c r="F23" i="7"/>
  <c r="F54" i="6"/>
  <c r="F14" i="6"/>
  <c r="F50" i="8"/>
  <c r="F34" i="7"/>
  <c r="F59" i="8"/>
  <c r="F49" i="7"/>
  <c r="F56" i="7"/>
  <c r="F38" i="6"/>
  <c r="F57" i="8"/>
  <c r="F48" i="7"/>
  <c r="F24" i="9"/>
  <c r="F31" i="9"/>
  <c r="F54" i="9"/>
  <c r="F23" i="9"/>
  <c r="F56" i="8"/>
  <c r="F7" i="8"/>
  <c r="F58" i="6"/>
  <c r="F9" i="7"/>
  <c r="F40" i="7"/>
  <c r="F60" i="9"/>
  <c r="F59" i="9"/>
  <c r="F60" i="6"/>
  <c r="F50" i="6"/>
  <c r="F57" i="9"/>
  <c r="F15" i="9"/>
  <c r="F53" i="9"/>
  <c r="F45" i="9"/>
  <c r="F37" i="9"/>
  <c r="F45" i="7"/>
  <c r="F58" i="7"/>
  <c r="F42" i="9"/>
  <c r="F51" i="6"/>
  <c r="F41" i="9"/>
  <c r="F46" i="6"/>
  <c r="F59" i="7"/>
  <c r="F50" i="7"/>
  <c r="F34" i="9"/>
  <c r="F35" i="6"/>
  <c r="F39" i="6"/>
  <c r="F55" i="8"/>
  <c r="F30" i="6"/>
  <c r="F45" i="8"/>
  <c r="F5" i="8"/>
  <c r="F51" i="7"/>
  <c r="F43" i="6"/>
  <c r="F58" i="8"/>
  <c r="F42" i="7"/>
  <c r="F26" i="9"/>
  <c r="F57" i="7"/>
  <c r="F40" i="9"/>
  <c r="F32" i="9"/>
  <c r="F8" i="8"/>
  <c r="F22" i="6"/>
  <c r="F53" i="6"/>
  <c r="F54" i="8"/>
  <c r="F40" i="6"/>
  <c r="F60" i="7"/>
  <c r="F52" i="9"/>
  <c r="F43" i="7"/>
  <c r="F35" i="9"/>
  <c r="F52" i="6"/>
  <c r="F42" i="6"/>
  <c r="F57" i="6"/>
  <c r="F49" i="8"/>
  <c r="F41" i="7"/>
  <c r="F33" i="9"/>
  <c r="F24" i="7"/>
  <c r="F54" i="7"/>
  <c r="F46" i="9"/>
  <c r="F37" i="7"/>
  <c r="F37" i="6"/>
  <c r="F47" i="6"/>
  <c r="F38" i="8"/>
  <c r="F45" i="6"/>
  <c r="F52" i="7"/>
  <c r="F44" i="9"/>
  <c r="F35" i="7"/>
  <c r="F27" i="9"/>
  <c r="F36" i="6"/>
  <c r="F34" i="6"/>
  <c r="F60" i="8"/>
  <c r="F49" i="6"/>
  <c r="F33" i="7"/>
  <c r="F25" i="9"/>
  <c r="F55" i="9"/>
  <c r="F46" i="7"/>
  <c r="F38" i="9"/>
  <c r="F47" i="8"/>
  <c r="F48" i="6"/>
  <c r="F46" i="8"/>
  <c r="F31" i="6"/>
  <c r="F29" i="6"/>
  <c r="F44" i="7"/>
  <c r="F36" i="9"/>
  <c r="F12" i="6"/>
  <c r="F51" i="8"/>
  <c r="F52" i="8"/>
  <c r="F41" i="6"/>
  <c r="F25" i="7"/>
  <c r="F55" i="7"/>
  <c r="F47" i="9"/>
  <c r="F38" i="7"/>
  <c r="F30" i="9"/>
  <c r="F48" i="8"/>
  <c r="F32" i="6"/>
  <c r="F15" i="6"/>
  <c r="F6" i="8"/>
  <c r="F13" i="6"/>
  <c r="F36" i="7"/>
  <c r="F28" i="9"/>
  <c r="F43" i="8"/>
  <c r="F58" i="9"/>
  <c r="F44" i="8"/>
  <c r="F59" i="6"/>
  <c r="F33" i="6"/>
  <c r="F56" i="9"/>
  <c r="F47" i="7"/>
  <c r="F39" i="9"/>
  <c r="F3" i="3"/>
  <c r="F3" i="6"/>
  <c r="F3" i="7"/>
  <c r="F4" i="3"/>
  <c r="F2" i="7"/>
  <c r="F3" i="9"/>
  <c r="F2" i="3"/>
  <c r="F2" i="9"/>
  <c r="F2" i="6"/>
  <c r="F4" i="7"/>
  <c r="F4" i="9"/>
  <c r="F2" i="8"/>
  <c r="F56" i="10"/>
  <c r="F48" i="10"/>
  <c r="F40" i="10"/>
  <c r="F32" i="10"/>
  <c r="F24" i="10"/>
  <c r="F16" i="10"/>
  <c r="F8" i="10"/>
  <c r="F47" i="10"/>
  <c r="F31" i="10"/>
  <c r="F15" i="10"/>
  <c r="F46" i="10"/>
  <c r="F30" i="10"/>
  <c r="F14" i="10"/>
  <c r="F53" i="10"/>
  <c r="F45" i="10"/>
  <c r="F37" i="10"/>
  <c r="F29" i="10"/>
  <c r="F21" i="10"/>
  <c r="F13" i="10"/>
  <c r="F5" i="10"/>
  <c r="F55" i="10"/>
  <c r="F39" i="10"/>
  <c r="F23" i="10"/>
  <c r="F7" i="10"/>
  <c r="F54" i="10"/>
  <c r="F38" i="10"/>
  <c r="F22" i="10"/>
  <c r="F6" i="10"/>
  <c r="F60" i="10"/>
  <c r="F52" i="10"/>
  <c r="F44" i="10"/>
  <c r="F36" i="10"/>
  <c r="F28" i="10"/>
  <c r="F20" i="10"/>
  <c r="F12" i="10"/>
  <c r="F4" i="10"/>
  <c r="F59" i="10"/>
  <c r="F51" i="10"/>
  <c r="F43" i="10"/>
  <c r="F35" i="10"/>
  <c r="F27" i="10"/>
  <c r="F19" i="10"/>
  <c r="F11" i="10"/>
  <c r="F3" i="10"/>
  <c r="F4" i="8"/>
  <c r="F58" i="10"/>
  <c r="F50" i="10"/>
  <c r="F42" i="10"/>
  <c r="F34" i="10"/>
  <c r="F26" i="10"/>
  <c r="F18" i="10"/>
  <c r="F10" i="10"/>
  <c r="F2" i="10"/>
  <c r="F3" i="8"/>
  <c r="F57" i="10"/>
  <c r="F49" i="10"/>
  <c r="F41" i="10"/>
  <c r="F33" i="10"/>
  <c r="F25" i="10"/>
  <c r="F17" i="10"/>
  <c r="F9" i="10"/>
  <c r="I3" i="2"/>
  <c r="J3" i="2" s="1"/>
  <c r="I4" i="2"/>
  <c r="J4" i="2" s="1"/>
  <c r="I5" i="2"/>
  <c r="J5" i="2" s="1"/>
  <c r="I6" i="2"/>
  <c r="J6" i="2" s="1"/>
  <c r="I7" i="2"/>
  <c r="J7" i="2" s="1"/>
  <c r="I8" i="2"/>
  <c r="J8" i="2" s="1"/>
  <c r="I9" i="2"/>
  <c r="J9" i="2" s="1"/>
  <c r="I10" i="2"/>
  <c r="J10" i="2" s="1"/>
  <c r="I11" i="2"/>
  <c r="J11" i="2" s="1"/>
  <c r="I12" i="2"/>
  <c r="J12" i="2" s="1"/>
  <c r="I13" i="2"/>
  <c r="J13" i="2" s="1"/>
  <c r="I14" i="2"/>
  <c r="J14" i="2" s="1"/>
  <c r="I15" i="2"/>
  <c r="J15" i="2" s="1"/>
  <c r="I16" i="2"/>
  <c r="J16" i="2" s="1"/>
  <c r="I17" i="2"/>
  <c r="J17" i="2" s="1"/>
  <c r="I18" i="2"/>
  <c r="J18" i="2" s="1"/>
  <c r="I19" i="2"/>
  <c r="J19" i="2" s="1"/>
  <c r="I20" i="2"/>
  <c r="J20" i="2" s="1"/>
  <c r="I21" i="2"/>
  <c r="J21" i="2" s="1"/>
  <c r="I22" i="2"/>
  <c r="J22" i="2" s="1"/>
  <c r="I23" i="2"/>
  <c r="J23" i="2" s="1"/>
  <c r="I24" i="2"/>
  <c r="J24" i="2" s="1"/>
  <c r="I25" i="2"/>
  <c r="J25" i="2" s="1"/>
  <c r="I26" i="2"/>
  <c r="J26" i="2" s="1"/>
  <c r="I27" i="2"/>
  <c r="J27" i="2" s="1"/>
  <c r="I28" i="2"/>
  <c r="J28" i="2" s="1"/>
  <c r="I29" i="2"/>
  <c r="J29" i="2" s="1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D2" i="10"/>
  <c r="C2" i="10"/>
  <c r="B2" i="10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D2" i="9"/>
  <c r="C2" i="9"/>
  <c r="B2" i="9"/>
  <c r="D3" i="8"/>
  <c r="D4" i="8"/>
  <c r="C3" i="8"/>
  <c r="C4" i="8"/>
  <c r="B3" i="8"/>
  <c r="B4" i="8"/>
  <c r="D2" i="8"/>
  <c r="C2" i="8"/>
  <c r="B2" i="8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2" i="7"/>
  <c r="C3" i="7"/>
  <c r="C4" i="7"/>
  <c r="C5" i="7"/>
  <c r="C6" i="7"/>
  <c r="C7" i="7"/>
  <c r="C8" i="7"/>
  <c r="C9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2" i="7"/>
  <c r="B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I2" i="2"/>
  <c r="C3" i="3"/>
  <c r="C4" i="3"/>
  <c r="C2" i="3"/>
  <c r="B2" i="3"/>
  <c r="J2" i="2" l="1"/>
  <c r="I1" i="4"/>
  <c r="F99" i="4" l="1"/>
  <c r="F28" i="4"/>
  <c r="F76" i="4"/>
  <c r="F127" i="4"/>
  <c r="F30" i="4"/>
  <c r="F50" i="4"/>
  <c r="F135" i="4"/>
  <c r="F65" i="4"/>
  <c r="F100" i="4"/>
  <c r="F43" i="4"/>
  <c r="F44" i="4"/>
  <c r="F19" i="4"/>
  <c r="F29" i="4"/>
  <c r="F24" i="4"/>
  <c r="F52" i="4"/>
  <c r="F107" i="4"/>
  <c r="F3" i="4"/>
  <c r="F98" i="4"/>
  <c r="F55" i="4"/>
  <c r="F77" i="4"/>
  <c r="F9" i="4"/>
  <c r="F5" i="4"/>
  <c r="F14" i="4"/>
  <c r="F23" i="4"/>
  <c r="F35" i="4"/>
  <c r="F45" i="4"/>
  <c r="F56" i="4"/>
  <c r="F64" i="4"/>
  <c r="F73" i="4"/>
  <c r="F83" i="4"/>
  <c r="F91" i="4"/>
  <c r="F102" i="4"/>
  <c r="F111" i="4"/>
  <c r="F119" i="4"/>
  <c r="F128" i="4"/>
  <c r="F137" i="4"/>
  <c r="F37" i="4"/>
  <c r="F67" i="4"/>
  <c r="F85" i="4"/>
  <c r="F104" i="4"/>
  <c r="F121" i="4"/>
  <c r="F139" i="4"/>
  <c r="F8" i="4"/>
  <c r="F17" i="4"/>
  <c r="F38" i="4"/>
  <c r="F48" i="4"/>
  <c r="F68" i="4"/>
  <c r="F6" i="4"/>
  <c r="F15" i="4"/>
  <c r="F25" i="4"/>
  <c r="F36" i="4"/>
  <c r="F46" i="4"/>
  <c r="F57" i="4"/>
  <c r="F66" i="4"/>
  <c r="F74" i="4"/>
  <c r="F84" i="4"/>
  <c r="F92" i="4"/>
  <c r="F103" i="4"/>
  <c r="F112" i="4"/>
  <c r="F120" i="4"/>
  <c r="F129" i="4"/>
  <c r="F138" i="4"/>
  <c r="F7" i="4"/>
  <c r="F16" i="4"/>
  <c r="F26" i="4"/>
  <c r="F47" i="4"/>
  <c r="F58" i="4"/>
  <c r="F75" i="4"/>
  <c r="F93" i="4"/>
  <c r="F113" i="4"/>
  <c r="F130" i="4"/>
  <c r="F27" i="4"/>
  <c r="F59" i="4"/>
  <c r="F78" i="4"/>
  <c r="F10" i="4"/>
  <c r="F31" i="4"/>
  <c r="F49" i="4"/>
  <c r="F69" i="4"/>
  <c r="F86" i="4"/>
  <c r="F97" i="4"/>
  <c r="F115" i="4"/>
  <c r="F126" i="4"/>
  <c r="F142" i="4"/>
  <c r="F39" i="4"/>
  <c r="F79" i="4"/>
  <c r="F90" i="4"/>
  <c r="F134" i="4"/>
  <c r="F40" i="4"/>
  <c r="F94" i="4"/>
  <c r="F41" i="4"/>
  <c r="F110" i="4"/>
  <c r="F125" i="4"/>
  <c r="F11" i="4"/>
  <c r="F32" i="4"/>
  <c r="F51" i="4"/>
  <c r="F70" i="4"/>
  <c r="F87" i="4"/>
  <c r="F101" i="4"/>
  <c r="F116" i="4"/>
  <c r="F131" i="4"/>
  <c r="F108" i="4"/>
  <c r="F123" i="4"/>
  <c r="F81" i="4"/>
  <c r="F124" i="4"/>
  <c r="F4" i="4"/>
  <c r="F42" i="4"/>
  <c r="F82" i="4"/>
  <c r="F96" i="4"/>
  <c r="F12" i="4"/>
  <c r="F33" i="4"/>
  <c r="F53" i="4"/>
  <c r="F71" i="4"/>
  <c r="F88" i="4"/>
  <c r="F105" i="4"/>
  <c r="F117" i="4"/>
  <c r="F132" i="4"/>
  <c r="F18" i="4"/>
  <c r="F60" i="4"/>
  <c r="F122" i="4"/>
  <c r="F61" i="4"/>
  <c r="F136" i="4"/>
  <c r="F141" i="4"/>
  <c r="F13" i="4"/>
  <c r="F34" i="4"/>
  <c r="F54" i="4"/>
  <c r="F72" i="4"/>
  <c r="F89" i="4"/>
  <c r="F106" i="4"/>
  <c r="F118" i="4"/>
  <c r="F133" i="4"/>
  <c r="F20" i="4"/>
  <c r="F80" i="4"/>
  <c r="F109" i="4"/>
  <c r="F21" i="4"/>
  <c r="F62" i="4"/>
  <c r="F95" i="4"/>
  <c r="F140" i="4"/>
  <c r="F22" i="4"/>
  <c r="F63" i="4"/>
  <c r="F114" i="4"/>
  <c r="F145" i="4"/>
  <c r="F144" i="4"/>
  <c r="F150" i="4"/>
  <c r="F152" i="4"/>
  <c r="F146" i="4"/>
  <c r="F149" i="4"/>
  <c r="F143" i="4"/>
  <c r="F147" i="4"/>
  <c r="F151" i="4"/>
  <c r="F148" i="4"/>
  <c r="F2" i="4"/>
</calcChain>
</file>

<file path=xl/sharedStrings.xml><?xml version="1.0" encoding="utf-8"?>
<sst xmlns="http://schemas.openxmlformats.org/spreadsheetml/2006/main" count="1144" uniqueCount="346">
  <si>
    <t>Grupa</t>
  </si>
  <si>
    <t>Nazwa grupy</t>
  </si>
  <si>
    <t>Godzina</t>
  </si>
  <si>
    <t>Instruktorka</t>
  </si>
  <si>
    <t>Imie I Nazwisko</t>
  </si>
  <si>
    <t>Nastepna platnosc</t>
  </si>
  <si>
    <t>PO1</t>
  </si>
  <si>
    <t>PO2</t>
  </si>
  <si>
    <t>EWA ROSZAK</t>
  </si>
  <si>
    <t>+</t>
  </si>
  <si>
    <t>ANNA OLEJNICZAK</t>
  </si>
  <si>
    <t>wiki+</t>
  </si>
  <si>
    <t>MAJA ROSZAK</t>
  </si>
  <si>
    <t>-</t>
  </si>
  <si>
    <t>ANNA ADAMIAK</t>
  </si>
  <si>
    <t>nowy+</t>
  </si>
  <si>
    <t>WERONIKA GRONEK</t>
  </si>
  <si>
    <t>IZABELA MICHAŁOWSKA</t>
  </si>
  <si>
    <t>koniec+</t>
  </si>
  <si>
    <t>monia karnet do 25 września</t>
  </si>
  <si>
    <t>PO3</t>
  </si>
  <si>
    <t>PO4</t>
  </si>
  <si>
    <t>LENA KOWALSKA</t>
  </si>
  <si>
    <t>x</t>
  </si>
  <si>
    <t>IZABELA DŁUŻAŁKA</t>
  </si>
  <si>
    <t>ANIA KLONOWSKA</t>
  </si>
  <si>
    <t>MONIKA PIASERSKA</t>
  </si>
  <si>
    <t>EMILIA STRÓŻYŃSKA</t>
  </si>
  <si>
    <t>ASIA MICHALSKA</t>
  </si>
  <si>
    <t>TATIANA KĄKOLEWSKA</t>
  </si>
  <si>
    <t>PO5</t>
  </si>
  <si>
    <t>ANGELIKA JAGSZ</t>
  </si>
  <si>
    <t>WT4</t>
  </si>
  <si>
    <t>MAGDALENA BIERNAT</t>
  </si>
  <si>
    <t>nowy-</t>
  </si>
  <si>
    <t xml:space="preserve">izka </t>
  </si>
  <si>
    <t>MARTA MAJWSKA</t>
  </si>
  <si>
    <t>MARTA OLSZEWSKA</t>
  </si>
  <si>
    <t>MILENA MAJWSKA</t>
  </si>
  <si>
    <t>EWELINA KACZMAREK</t>
  </si>
  <si>
    <t>nadia+</t>
  </si>
  <si>
    <t>nowy+ 1 wejście</t>
  </si>
  <si>
    <t>WT5</t>
  </si>
  <si>
    <t>SAMANTA LEŚNIAREK</t>
  </si>
  <si>
    <t>JESSICA KOZAK</t>
  </si>
  <si>
    <t>BEATA SZYMONIAK</t>
  </si>
  <si>
    <t>nadia-</t>
  </si>
  <si>
    <t>SANDRA STACHOWIAK</t>
  </si>
  <si>
    <t>zuzia+</t>
  </si>
  <si>
    <t>Imie i Nazwisko</t>
  </si>
  <si>
    <t>SR0</t>
  </si>
  <si>
    <t>IDA SZCZEPANIAK</t>
  </si>
  <si>
    <t>ola+</t>
  </si>
  <si>
    <t>kontuzja</t>
  </si>
  <si>
    <t>BLANKA WOSIŃSKA</t>
  </si>
  <si>
    <t>WERONIKA CISIELSKA</t>
  </si>
  <si>
    <t>zosia+</t>
  </si>
  <si>
    <t>nie chodzi</t>
  </si>
  <si>
    <t>hania+</t>
  </si>
  <si>
    <t>olga+</t>
  </si>
  <si>
    <t>danka+</t>
  </si>
  <si>
    <t>martynka+</t>
  </si>
  <si>
    <t>SR1</t>
  </si>
  <si>
    <t>laura+</t>
  </si>
  <si>
    <t>SR2</t>
  </si>
  <si>
    <t>LENA PAZOŁA</t>
  </si>
  <si>
    <t xml:space="preserve"> +</t>
  </si>
  <si>
    <t>urlop</t>
  </si>
  <si>
    <t>Wiktoria +</t>
  </si>
  <si>
    <t xml:space="preserve"> -</t>
  </si>
  <si>
    <t>ola nowy+</t>
  </si>
  <si>
    <t>Dorotka+</t>
  </si>
  <si>
    <t>Klaudia +</t>
  </si>
  <si>
    <t>Jessika +</t>
  </si>
  <si>
    <t>SR3</t>
  </si>
  <si>
    <t>KAMILA SKRZYPCZAK</t>
  </si>
  <si>
    <t>Kasia +</t>
  </si>
  <si>
    <t>Zuzia +</t>
  </si>
  <si>
    <t>Natalia +</t>
  </si>
  <si>
    <t>WERONIKA TWARDOWSKA</t>
  </si>
  <si>
    <t>Wiki +</t>
  </si>
  <si>
    <t>MILENA TALAGA</t>
  </si>
  <si>
    <t>IRENA HRYP</t>
  </si>
  <si>
    <t>OLESANDRA KOLISNYK</t>
  </si>
  <si>
    <t>Ania +</t>
  </si>
  <si>
    <t>Asia +</t>
  </si>
  <si>
    <t>KAROLINA BOGUSZ KNAPP</t>
  </si>
  <si>
    <t>JESSICA GRZESIEK</t>
  </si>
  <si>
    <t>SR4</t>
  </si>
  <si>
    <t>MARYSIA STRÓŻYŃSKA</t>
  </si>
  <si>
    <t>SR5</t>
  </si>
  <si>
    <t>SR6</t>
  </si>
  <si>
    <t>PAULA DOPIERAŁA</t>
  </si>
  <si>
    <t>JAGODA WOJCIECHOWSKA</t>
  </si>
  <si>
    <t>AGNIESZKA NOWACKA</t>
  </si>
  <si>
    <t>ANIA JANKOWIAK</t>
  </si>
  <si>
    <t>KAROLINA NOWICKA</t>
  </si>
  <si>
    <t>DAGMARA HOJSLER</t>
  </si>
  <si>
    <t>CZ2</t>
  </si>
  <si>
    <t>X</t>
  </si>
  <si>
    <t>MARCELINA KUREK</t>
  </si>
  <si>
    <t>NATALIA KRAJKA</t>
  </si>
  <si>
    <t>IWONA JANKOWIAK</t>
  </si>
  <si>
    <t>KASIA WOJCIECHOWSKA</t>
  </si>
  <si>
    <t>MARTA KRAJKA</t>
  </si>
  <si>
    <t>CZ3</t>
  </si>
  <si>
    <t>przerwa</t>
  </si>
  <si>
    <t>CZ4</t>
  </si>
  <si>
    <t>ANNA BARTKOWIAK</t>
  </si>
  <si>
    <t>OLIWIA OLEJNICZAK</t>
  </si>
  <si>
    <t>AMANDA MAJCHRZAK</t>
  </si>
  <si>
    <t>NIKOLA KORDUS</t>
  </si>
  <si>
    <t>KATARZYNA BOROWSKA</t>
  </si>
  <si>
    <t>do 14.09</t>
  </si>
  <si>
    <t>CZ6</t>
  </si>
  <si>
    <t>PT3</t>
  </si>
  <si>
    <t>MAŁGORZATA SMĘTKAŁA</t>
  </si>
  <si>
    <t>ala+</t>
  </si>
  <si>
    <t>kinia+</t>
  </si>
  <si>
    <t>ola s.</t>
  </si>
  <si>
    <t>julka+</t>
  </si>
  <si>
    <t>kinia-</t>
  </si>
  <si>
    <t>kasia+</t>
  </si>
  <si>
    <t>julka do 22 września</t>
  </si>
  <si>
    <t>odrabianie- 50 zl</t>
  </si>
  <si>
    <t>PT4</t>
  </si>
  <si>
    <t>MAJA KRZYŻOSZCZAK</t>
  </si>
  <si>
    <t>ANETA JĘDRZEJCZAK</t>
  </si>
  <si>
    <t>SANDRA GUNIA</t>
  </si>
  <si>
    <t>maria+</t>
  </si>
  <si>
    <t>PT5</t>
  </si>
  <si>
    <t>ALEKSANDRA STANISZEWSKA</t>
  </si>
  <si>
    <t>PAULA TYCZEWSKA</t>
  </si>
  <si>
    <t>ANNA LANGER</t>
  </si>
  <si>
    <t>zuza+</t>
  </si>
  <si>
    <t>MAGDALENA JAKUSZKOWIAK</t>
  </si>
  <si>
    <t>ANNA ZBIERALSKA</t>
  </si>
  <si>
    <t>Id</t>
  </si>
  <si>
    <t>Email</t>
  </si>
  <si>
    <t>Numer telefonu</t>
  </si>
  <si>
    <t>Uwagi</t>
  </si>
  <si>
    <t>Grupy</t>
  </si>
  <si>
    <t>Data dolaczenia</t>
  </si>
  <si>
    <t>Koniec karnetu</t>
  </si>
  <si>
    <t>GABRYSIA KONIECZNA</t>
  </si>
  <si>
    <t>przykladowyemail@domena.com</t>
  </si>
  <si>
    <t>MONIKA RATAJCZAK</t>
  </si>
  <si>
    <t>DOMINIKA MARCINKRAWIEC</t>
  </si>
  <si>
    <t>dominika.marcinkaniec@vp.ppl</t>
  </si>
  <si>
    <t>AGA MAJCHRZAK</t>
  </si>
  <si>
    <t>MARIKA IDKOWIAK</t>
  </si>
  <si>
    <t>samantaa.lesniarek@gmail.com</t>
  </si>
  <si>
    <t>aklonekq@wp.pl</t>
  </si>
  <si>
    <t>PO4;CZ2</t>
  </si>
  <si>
    <t>PO4;PT4</t>
  </si>
  <si>
    <t>ZUZANNA KRYŚ</t>
  </si>
  <si>
    <t>ZOSIA SZYMCZAK</t>
  </si>
  <si>
    <t>zosiaszymczak04@gmail.com</t>
  </si>
  <si>
    <t xml:space="preserve">DOROTA POLNA </t>
  </si>
  <si>
    <t>JULIA GRUCHOCIAK</t>
  </si>
  <si>
    <t>Gruchociakjulia@gmail.com</t>
  </si>
  <si>
    <t>ZOFIA JUSKA</t>
  </si>
  <si>
    <t>WT1</t>
  </si>
  <si>
    <t>IGA WŁODARCZYK</t>
  </si>
  <si>
    <t>WT2</t>
  </si>
  <si>
    <t>WIKTORIA RATAJCZAK</t>
  </si>
  <si>
    <t>PATRYCJA ŁUSZCZ</t>
  </si>
  <si>
    <t>KASIA CIEŚLAK</t>
  </si>
  <si>
    <t>CZ5</t>
  </si>
  <si>
    <t>JULIA PIKULSKA</t>
  </si>
  <si>
    <t>PT4;WT4</t>
  </si>
  <si>
    <t>PT5;WT4</t>
  </si>
  <si>
    <t>WT5;PO5</t>
  </si>
  <si>
    <t>JEDNORAZOWE</t>
  </si>
  <si>
    <t>ANNA KONIECZNA</t>
  </si>
  <si>
    <t>ANNA GÓRNA</t>
  </si>
  <si>
    <t>?</t>
  </si>
  <si>
    <t>OLGA LEMPACH</t>
  </si>
  <si>
    <t>JAGODA STEFAŃSKA</t>
  </si>
  <si>
    <t>SR2;PO4</t>
  </si>
  <si>
    <t>natuska-k@o2.pl</t>
  </si>
  <si>
    <t>kasia21272@wp.pl</t>
  </si>
  <si>
    <t>Marta.krajka1@o2.pl</t>
  </si>
  <si>
    <t>JULIA ANDZEJCZAK</t>
  </si>
  <si>
    <t>DARIA TALAGA</t>
  </si>
  <si>
    <t>Daria.talaga@onet.pl</t>
  </si>
  <si>
    <t>KAROLINA GRZEŚKOWIAK</t>
  </si>
  <si>
    <t>kika3757@gmail.com</t>
  </si>
  <si>
    <t>ALICJA TOMCZAK</t>
  </si>
  <si>
    <t>EWELINA NIEDZIELA</t>
  </si>
  <si>
    <t>WERONIKA KŁAKULAK</t>
  </si>
  <si>
    <t>LIDIA KOSMACIŃSKA-MAYER</t>
  </si>
  <si>
    <t>lidia-kosmacinska@wp.pl</t>
  </si>
  <si>
    <t>GOSIA KASPRZYŃSKA</t>
  </si>
  <si>
    <t>ALINA STRÓŻYŃSKA</t>
  </si>
  <si>
    <t>LAURA WOSIŃSKA</t>
  </si>
  <si>
    <t>OLA GEMBALSKA</t>
  </si>
  <si>
    <t>NIKOLA KUCZYŃSKA</t>
  </si>
  <si>
    <t>kuczynska212@gmail.com</t>
  </si>
  <si>
    <t>Ourpassion_rollerskate@onet.pl</t>
  </si>
  <si>
    <t>MONIKA BIERNACKA</t>
  </si>
  <si>
    <t>aneta.j@interia.eu</t>
  </si>
  <si>
    <t>PT4;PT5</t>
  </si>
  <si>
    <t>ZOSIA GUNIA</t>
  </si>
  <si>
    <t>WIKTORIA OKRĘT</t>
  </si>
  <si>
    <t>SYLWIA CIESIELSKA</t>
  </si>
  <si>
    <t>DANUTA SOBIERAJSKA</t>
  </si>
  <si>
    <t>ZUZANNA JARECKA</t>
  </si>
  <si>
    <t>IGA JARECKA</t>
  </si>
  <si>
    <t>MARTYNA BORUSZEWSKA</t>
  </si>
  <si>
    <t>NATASZA BRYLEWSKA</t>
  </si>
  <si>
    <t>natasza.brylewska@gmail.com</t>
  </si>
  <si>
    <t>HANIA JUSZKIEWICZ</t>
  </si>
  <si>
    <t>KINGA SIERADZKA</t>
  </si>
  <si>
    <t>KATARZYNA JANKOWIAK</t>
  </si>
  <si>
    <t>JOWITA STACHOWIAK</t>
  </si>
  <si>
    <t>MARTA PTASZYŃSKA</t>
  </si>
  <si>
    <t>martaptaszynska05@gmail.com</t>
  </si>
  <si>
    <t>ZUZANNA ROKICKA</t>
  </si>
  <si>
    <t>PATRYCJA LUTYŃSKA</t>
  </si>
  <si>
    <t>lutypatrycja0@gmail.com</t>
  </si>
  <si>
    <t>JULIA PAZOŁA</t>
  </si>
  <si>
    <t>Julkapazola@gmail.com</t>
  </si>
  <si>
    <t>LENA WOJTASIK</t>
  </si>
  <si>
    <t>JULIA PAWLAK</t>
  </si>
  <si>
    <t>DARIA ZAREMBA-BRUDER</t>
  </si>
  <si>
    <t>IZABELA KAŹMIERCZAK</t>
  </si>
  <si>
    <t>SR6;PO5</t>
  </si>
  <si>
    <t>ANTONINA KRAWIEC</t>
  </si>
  <si>
    <t>NINA KACZMARCZYK</t>
  </si>
  <si>
    <t>SYLWIA GROBELNA</t>
  </si>
  <si>
    <t>GRETA TWARDOSZ</t>
  </si>
  <si>
    <t>SYLWIA SZYMAŃSKA</t>
  </si>
  <si>
    <t>KASIA ŻAK</t>
  </si>
  <si>
    <t>KORNELIA GROBLENA</t>
  </si>
  <si>
    <t>ALICJA ADAMCZAK-HAMPELSKA</t>
  </si>
  <si>
    <t>ala@krobia.net.pl</t>
  </si>
  <si>
    <t>DOMINIKA SARBINOWSKA</t>
  </si>
  <si>
    <t>dominikasarbinowska87@gmail.com</t>
  </si>
  <si>
    <t xml:space="preserve">NIKOLA RYDIAN </t>
  </si>
  <si>
    <t>nikola.rydian@spoko.pl</t>
  </si>
  <si>
    <t>ANIA SOBECKA</t>
  </si>
  <si>
    <t>MARIA SERWATKA</t>
  </si>
  <si>
    <t>ZUZANNA SARBINOWSKA</t>
  </si>
  <si>
    <t>EWA BARTOSZ-KAZIMIERSKA</t>
  </si>
  <si>
    <t>WERONIKA ALEKSANDER</t>
  </si>
  <si>
    <t>weronika.aleksander@gmail.com</t>
  </si>
  <si>
    <t>EMILIA PRZYBYŁ</t>
  </si>
  <si>
    <t>ALICJA GROSZEK</t>
  </si>
  <si>
    <t>ADELA BOROWCZYK</t>
  </si>
  <si>
    <t>ZOSIA SKROBAŁA</t>
  </si>
  <si>
    <t>MAGDALENA POLOWCZYK</t>
  </si>
  <si>
    <t>MARTA JANIKOWSKA</t>
  </si>
  <si>
    <t>WERONIKA GRZEMSKA</t>
  </si>
  <si>
    <t>anna.grzemska84@interia.pl</t>
  </si>
  <si>
    <t>KAROLINA LUBIŃSKA</t>
  </si>
  <si>
    <t>PATRYCJA WASILEWSKA</t>
  </si>
  <si>
    <t>AGNIESZKA ANTKOWIAK</t>
  </si>
  <si>
    <t>Nazwa</t>
  </si>
  <si>
    <t>Pelna nazwa</t>
  </si>
  <si>
    <t>Dzien</t>
  </si>
  <si>
    <t>Poczatek zajec</t>
  </si>
  <si>
    <t>Koniec zajec</t>
  </si>
  <si>
    <t>Ilosc miejsc</t>
  </si>
  <si>
    <t>Ilosc kursantek</t>
  </si>
  <si>
    <t>Wolne miejsca</t>
  </si>
  <si>
    <t>Poniedzialek</t>
  </si>
  <si>
    <t>Paulina Bartkowiak</t>
  </si>
  <si>
    <t xml:space="preserve">DOROTA PODSTAWA </t>
  </si>
  <si>
    <t>Dorota Polna</t>
  </si>
  <si>
    <t>DOROTA PRIV</t>
  </si>
  <si>
    <t>DAGA ŚREDNI</t>
  </si>
  <si>
    <t>Dagmara Binkowska</t>
  </si>
  <si>
    <t>DAGA EXOTIC</t>
  </si>
  <si>
    <t>PO6</t>
  </si>
  <si>
    <t>Wtorek</t>
  </si>
  <si>
    <t>WT3</t>
  </si>
  <si>
    <t>ZUZIA ŚREDNI</t>
  </si>
  <si>
    <t>Zuzanna Kryś</t>
  </si>
  <si>
    <t>ZUZIA PODSTAWA +</t>
  </si>
  <si>
    <t>DOROTA KIDS+</t>
  </si>
  <si>
    <t>Sroda</t>
  </si>
  <si>
    <t>DOROTA PODSTAWA</t>
  </si>
  <si>
    <t>DOROTA TEENS</t>
  </si>
  <si>
    <t>DOROTA ŚREDNI</t>
  </si>
  <si>
    <t>DOROTA J TEENS 0</t>
  </si>
  <si>
    <t>Dorota Jaszkiewicz</t>
  </si>
  <si>
    <t>DOROTA ZERO</t>
  </si>
  <si>
    <t>DOROTA PODSTAWA +</t>
  </si>
  <si>
    <t>CZ1</t>
  </si>
  <si>
    <t>Czwartek</t>
  </si>
  <si>
    <t>KASIA PODSTAWA +</t>
  </si>
  <si>
    <t>Katarzyna Krześlak</t>
  </si>
  <si>
    <t xml:space="preserve">KASIA ZERO </t>
  </si>
  <si>
    <t>KASIA PODSTAWA +2</t>
  </si>
  <si>
    <t>ADA ZERO</t>
  </si>
  <si>
    <t>Adrianna Karczewska</t>
  </si>
  <si>
    <t>PT1</t>
  </si>
  <si>
    <t>Piatek</t>
  </si>
  <si>
    <t>PT2</t>
  </si>
  <si>
    <t>PAULINA PODSTAWA +</t>
  </si>
  <si>
    <t>Paulina Chrzanowska</t>
  </si>
  <si>
    <t>PT6</t>
  </si>
  <si>
    <t>SO1</t>
  </si>
  <si>
    <t>Sobota</t>
  </si>
  <si>
    <t>SO2</t>
  </si>
  <si>
    <t>SO3</t>
  </si>
  <si>
    <t>SO4</t>
  </si>
  <si>
    <t>SO5</t>
  </si>
  <si>
    <t>SO6</t>
  </si>
  <si>
    <t>Platnosc</t>
  </si>
  <si>
    <t>Ostatnia platnosc</t>
  </si>
  <si>
    <t>Status platnosci</t>
  </si>
  <si>
    <t>Historia</t>
  </si>
  <si>
    <t>zrezygnowała</t>
  </si>
  <si>
    <t>do 27 września</t>
  </si>
  <si>
    <t>do 25 września</t>
  </si>
  <si>
    <t>do 4 września</t>
  </si>
  <si>
    <t>do 2.10 miala jedno ejscie z konkursu to stare a potem sie popsula monia i jej nue bylo</t>
  </si>
  <si>
    <t>prszerwa</t>
  </si>
  <si>
    <t xml:space="preserve">kontuzja </t>
  </si>
  <si>
    <t>wróci we wrześniu</t>
  </si>
  <si>
    <t>przerwa przez okres wakacji</t>
  </si>
  <si>
    <t>rezygnuje</t>
  </si>
  <si>
    <t>jaka data?</t>
  </si>
  <si>
    <t>!!!</t>
  </si>
  <si>
    <t>NIE CHODZI</t>
  </si>
  <si>
    <t>!</t>
  </si>
  <si>
    <t>L4 na 3 mce</t>
  </si>
  <si>
    <t>data się zgadza?</t>
  </si>
  <si>
    <t>!!!!</t>
  </si>
  <si>
    <t xml:space="preserve">nie chodzi  </t>
  </si>
  <si>
    <t>nie chodzi już</t>
  </si>
  <si>
    <t>miał być przelew sprawdzić</t>
  </si>
  <si>
    <t>przerwa do 11 września</t>
  </si>
  <si>
    <t>nie była, nie zapłacone</t>
  </si>
  <si>
    <t>oplacony wrzesien, przerwa na wakacje - wraca 15.09</t>
  </si>
  <si>
    <t>co z jej karnetem? miała wypadek samochodowy, miała do ciebie pisać, ma zawieszony, przedłużony czy jak?</t>
  </si>
  <si>
    <t>r</t>
  </si>
  <si>
    <t>wróci 8 września</t>
  </si>
  <si>
    <t>kupuje pojedyńcze wejścia</t>
  </si>
  <si>
    <t>nie będzie jej do listopada</t>
  </si>
  <si>
    <t>rezygnuje, placila 2x za pojedyncze</t>
  </si>
  <si>
    <t>nie była, nie zapłacone x2</t>
  </si>
  <si>
    <t>nie jestem pewna czy data się zgadza</t>
  </si>
  <si>
    <t>PAULINA KIDS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</si>
</sst>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zł&quot;;[Red]\-#,##0\ &quot;zł&quot;"/>
    <numFmt numFmtId="164" formatCode="h:mm;@"/>
    <numFmt numFmtId="165" formatCode="d\-mm;@"/>
  </numFmts>
  <fonts count="15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charset val="238"/>
      <scheme val="minor"/>
    </font>
    <font>
      <sz val="9"/>
      <color rgb="FF000000"/>
      <name val="Batang"/>
      <family val="1"/>
      <charset val="129"/>
    </font>
    <font>
      <sz val="11"/>
      <color rgb="FF000000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charset val="238"/>
    </font>
    <font>
      <sz val="11"/>
      <color rgb="FF444444"/>
      <name val="Calibri"/>
      <family val="2"/>
      <charset val="1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rgb="FFE2EFDA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rgb="FF70AD47"/>
      </left>
      <right style="thin">
        <color rgb="FF70AD47"/>
      </right>
      <top/>
      <bottom style="thin">
        <color rgb="FF70AD47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6" fillId="2" borderId="0" applyNumberFormat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4" fillId="0" borderId="0" xfId="0" applyFont="1"/>
    <xf numFmtId="16" fontId="0" fillId="0" borderId="0" xfId="0" applyNumberFormat="1"/>
    <xf numFmtId="20" fontId="0" fillId="0" borderId="0" xfId="0" applyNumberFormat="1"/>
    <xf numFmtId="0" fontId="5" fillId="0" borderId="0" xfId="0" applyFont="1"/>
    <xf numFmtId="0" fontId="6" fillId="0" borderId="0" xfId="2" applyFill="1"/>
    <xf numFmtId="0" fontId="7" fillId="0" borderId="0" xfId="2" applyFont="1" applyFill="1"/>
    <xf numFmtId="0" fontId="6" fillId="3" borderId="0" xfId="2" applyFill="1"/>
    <xf numFmtId="14" fontId="0" fillId="4" borderId="0" xfId="0" applyNumberFormat="1" applyFill="1"/>
    <xf numFmtId="0" fontId="0" fillId="3" borderId="0" xfId="0" applyFill="1"/>
    <xf numFmtId="0" fontId="0" fillId="0" borderId="1" xfId="0" applyBorder="1"/>
    <xf numFmtId="0" fontId="2" fillId="0" borderId="3" xfId="0" applyFont="1" applyBorder="1"/>
    <xf numFmtId="14" fontId="2" fillId="0" borderId="3" xfId="0" applyNumberFormat="1" applyFont="1" applyBorder="1"/>
    <xf numFmtId="0" fontId="0" fillId="5" borderId="4" xfId="0" applyFill="1" applyBorder="1"/>
    <xf numFmtId="0" fontId="0" fillId="5" borderId="4" xfId="0" applyFill="1" applyBorder="1" applyAlignment="1">
      <alignment vertical="center"/>
    </xf>
    <xf numFmtId="164" fontId="0" fillId="5" borderId="4" xfId="0" applyNumberFormat="1" applyFill="1" applyBorder="1" applyAlignment="1">
      <alignment vertical="center"/>
    </xf>
    <xf numFmtId="14" fontId="0" fillId="5" borderId="4" xfId="0" applyNumberFormat="1" applyFill="1" applyBorder="1"/>
    <xf numFmtId="0" fontId="0" fillId="0" borderId="3" xfId="0" applyBorder="1"/>
    <xf numFmtId="0" fontId="0" fillId="0" borderId="3" xfId="0" applyBorder="1" applyAlignment="1">
      <alignment vertical="center"/>
    </xf>
    <xf numFmtId="164" fontId="0" fillId="0" borderId="3" xfId="0" applyNumberFormat="1" applyBorder="1" applyAlignment="1">
      <alignment vertical="center"/>
    </xf>
    <xf numFmtId="14" fontId="0" fillId="0" borderId="3" xfId="0" applyNumberFormat="1" applyBorder="1"/>
    <xf numFmtId="0" fontId="0" fillId="5" borderId="3" xfId="0" applyFill="1" applyBorder="1"/>
    <xf numFmtId="0" fontId="0" fillId="5" borderId="3" xfId="0" applyFill="1" applyBorder="1" applyAlignment="1">
      <alignment vertical="center"/>
    </xf>
    <xf numFmtId="164" fontId="0" fillId="5" borderId="3" xfId="0" applyNumberFormat="1" applyFill="1" applyBorder="1" applyAlignment="1">
      <alignment vertical="center"/>
    </xf>
    <xf numFmtId="14" fontId="0" fillId="5" borderId="3" xfId="0" applyNumberFormat="1" applyFill="1" applyBorder="1"/>
    <xf numFmtId="0" fontId="0" fillId="5" borderId="5" xfId="0" applyFill="1" applyBorder="1"/>
    <xf numFmtId="0" fontId="0" fillId="5" borderId="5" xfId="0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4" fontId="0" fillId="5" borderId="5" xfId="0" applyNumberFormat="1" applyFill="1" applyBorder="1"/>
    <xf numFmtId="6" fontId="6" fillId="3" borderId="0" xfId="2" applyNumberFormat="1" applyFill="1"/>
    <xf numFmtId="0" fontId="8" fillId="3" borderId="0" xfId="0" applyFont="1" applyFill="1"/>
    <xf numFmtId="16" fontId="0" fillId="3" borderId="0" xfId="0" applyNumberFormat="1" applyFill="1"/>
    <xf numFmtId="0" fontId="3" fillId="0" borderId="0" xfId="1"/>
    <xf numFmtId="0" fontId="10" fillId="3" borderId="0" xfId="0" applyFont="1" applyFill="1"/>
    <xf numFmtId="0" fontId="11" fillId="0" borderId="0" xfId="0" applyFont="1"/>
    <xf numFmtId="14" fontId="11" fillId="0" borderId="0" xfId="0" applyNumberFormat="1" applyFont="1"/>
    <xf numFmtId="16" fontId="11" fillId="0" borderId="0" xfId="0" applyNumberFormat="1" applyFont="1"/>
    <xf numFmtId="16" fontId="0" fillId="0" borderId="1" xfId="0" applyNumberFormat="1" applyBorder="1"/>
    <xf numFmtId="165" fontId="4" fillId="0" borderId="2" xfId="0" applyNumberFormat="1" applyFont="1" applyBorder="1"/>
    <xf numFmtId="165" fontId="4" fillId="0" borderId="1" xfId="0" applyNumberFormat="1" applyFont="1" applyBorder="1"/>
    <xf numFmtId="3" fontId="12" fillId="0" borderId="0" xfId="0" applyNumberFormat="1" applyFont="1"/>
    <xf numFmtId="16" fontId="8" fillId="3" borderId="0" xfId="0" applyNumberFormat="1" applyFont="1" applyFill="1"/>
    <xf numFmtId="0" fontId="10" fillId="6" borderId="0" xfId="0" applyFont="1" applyFill="1"/>
    <xf numFmtId="0" fontId="3" fillId="6" borderId="0" xfId="1" applyFill="1"/>
    <xf numFmtId="0" fontId="10" fillId="0" borderId="0" xfId="0" applyFont="1"/>
    <xf numFmtId="16" fontId="10" fillId="6" borderId="0" xfId="0" applyNumberFormat="1" applyFont="1" applyFill="1"/>
    <xf numFmtId="16" fontId="10" fillId="0" borderId="0" xfId="0" applyNumberFormat="1" applyFont="1"/>
    <xf numFmtId="0" fontId="14" fillId="6" borderId="0" xfId="0" applyFont="1" applyFill="1"/>
    <xf numFmtId="0" fontId="14" fillId="0" borderId="0" xfId="0" applyFont="1"/>
    <xf numFmtId="0" fontId="9" fillId="6" borderId="6" xfId="0" applyFont="1" applyFill="1" applyBorder="1"/>
    <xf numFmtId="0" fontId="12" fillId="6" borderId="0" xfId="0" applyFont="1" applyFill="1"/>
  </cellXfs>
  <cellStyles count="3">
    <cellStyle name="Hiperłącze" xfId="1" builtinId="8"/>
    <cellStyle name="Neutralny" xfId="2" builtinId="28"/>
    <cellStyle name="Normalny" xfId="0" builtinId="0"/>
  </cellStyles>
  <dxfs count="35">
    <dxf>
      <fill>
        <patternFill patternType="solid">
          <fgColor indexed="64"/>
          <bgColor rgb="FFFFFF00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4</xdr:row>
          <xdr:rowOff>76200</xdr:rowOff>
        </xdr:from>
        <xdr:to>
          <xdr:col>10</xdr:col>
          <xdr:colOff>114300</xdr:colOff>
          <xdr:row>6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 kursantki do grup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180975</xdr:rowOff>
        </xdr:from>
        <xdr:to>
          <xdr:col>10</xdr:col>
          <xdr:colOff>114300</xdr:colOff>
          <xdr:row>8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Czysc kursantki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2</xdr:row>
          <xdr:rowOff>0</xdr:rowOff>
        </xdr:from>
        <xdr:to>
          <xdr:col>10</xdr:col>
          <xdr:colOff>123825</xdr:colOff>
          <xdr:row>3</xdr:row>
          <xdr:rowOff>180975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 nowa kursantke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0</xdr:row>
          <xdr:rowOff>180975</xdr:rowOff>
        </xdr:from>
        <xdr:to>
          <xdr:col>13</xdr:col>
          <xdr:colOff>9525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Stworz grupy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3</xdr:row>
          <xdr:rowOff>38100</xdr:rowOff>
        </xdr:from>
        <xdr:to>
          <xdr:col>13</xdr:col>
          <xdr:colOff>9525</xdr:colOff>
          <xdr:row>5</xdr:row>
          <xdr:rowOff>28575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Czysc grupy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47625</xdr:rowOff>
        </xdr:from>
        <xdr:to>
          <xdr:col>10</xdr:col>
          <xdr:colOff>257175</xdr:colOff>
          <xdr:row>1</xdr:row>
          <xdr:rowOff>104775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8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Platnosc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47625</xdr:rowOff>
        </xdr:from>
        <xdr:to>
          <xdr:col>12</xdr:col>
          <xdr:colOff>352425</xdr:colOff>
          <xdr:row>1</xdr:row>
          <xdr:rowOff>104775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8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 dni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499F06-884E-47FC-A8D7-A365284B6AF6}" name="Tabela3" displayName="Tabela3" ref="A1:H139" totalsRowShown="0" headerRowDxfId="10">
  <autoFilter ref="A1:H139" xr:uid="{F6499F06-884E-47FC-A8D7-A365284B6AF6}"/>
  <tableColumns count="8">
    <tableColumn id="1" xr3:uid="{10F6E54E-F35A-4BD6-9E01-0BB528D0BD50}" name="Id"/>
    <tableColumn id="2" xr3:uid="{97B9E0FB-80A4-4B68-8057-419749CDB6FE}" name="Imie i Nazwisko"/>
    <tableColumn id="3" xr3:uid="{DC4147D2-9848-4DA5-BBD1-0A46EA8ECE93}" name="Email"/>
    <tableColumn id="4" xr3:uid="{91D5B4DD-EA43-4066-AB5D-A8AE1534DBE2}" name="Numer telefonu"/>
    <tableColumn id="5" xr3:uid="{4EB0FFB6-61D7-48E6-8B87-0BFF6D34EFFA}" name="Uwagi"/>
    <tableColumn id="6" xr3:uid="{BBE2E752-AF98-4151-9B10-74D93D24D712}" name="Grupy"/>
    <tableColumn id="7" xr3:uid="{0952D453-D01E-4A19-9127-8C2667BA46EE}" name="Data dolaczenia"/>
    <tableColumn id="8" xr3:uid="{275DD398-7F53-4CE7-943D-F31EF16861B3}" name="Koniec karnetu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FC00F0-3844-423A-83FD-C3C25284EA5E}" name="Tabela2" displayName="Tabela2" ref="A1:J37" totalsRowShown="0" headerRowDxfId="8">
  <autoFilter ref="A1:J37" xr:uid="{6CFC00F0-3844-423A-83FD-C3C25284EA5E}"/>
  <tableColumns count="10">
    <tableColumn id="1" xr3:uid="{6F06C449-EB09-4D09-8BE7-538154BEF828}" name="Id"/>
    <tableColumn id="2" xr3:uid="{84B55375-BA69-4734-AA13-FB9DAEA28CB5}" name="Nazwa"/>
    <tableColumn id="3" xr3:uid="{1E2A3669-4A16-4D4E-880D-3E562EB075CE}" name="Pelna nazwa"/>
    <tableColumn id="4" xr3:uid="{80EF8080-5033-4DB2-AE56-8AF4488B654E}" name="Dzien"/>
    <tableColumn id="5" xr3:uid="{9EF87E7A-254C-43FD-8A73-E3C1179374DD}" name="Poczatek zajec" dataDxfId="7"/>
    <tableColumn id="6" xr3:uid="{2529B094-EB2E-436E-922A-8B4E2E945EC4}" name="Koniec zajec" dataDxfId="6"/>
    <tableColumn id="7" xr3:uid="{1610A6FA-4967-4DC6-BB7F-D3BB03488D05}" name="Instruktorka"/>
    <tableColumn id="8" xr3:uid="{989F22BD-48AC-4BDA-9A8F-8CDA52F22F9F}" name="Ilosc miejsc"/>
    <tableColumn id="9" xr3:uid="{3D9F1115-17C5-4708-AEBB-2C94DB473222}" name="Ilosc kursantek">
      <calculatedColumnFormula>COUNTIF(Kursantki!F:F,B2)</calculatedColumnFormula>
    </tableColumn>
    <tableColumn id="10" xr3:uid="{528B43C5-97EE-4D3D-BB89-7B723155A3A3}" name="Wolne miejsca">
      <calculatedColumnFormula>H2-I2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E65112-89EC-4D95-B5FD-7D8E4A01C86D}" name="Tabela1" displayName="Tabela1" ref="A1:H152" totalsRowShown="0">
  <autoFilter ref="A1:H152" xr:uid="{F9E65112-89EC-4D95-B5FD-7D8E4A01C86D}"/>
  <tableColumns count="8">
    <tableColumn id="1" xr3:uid="{026B4DFF-D869-4F55-AF04-61405D3AEE93}" name="Id"/>
    <tableColumn id="2" xr3:uid="{927F138C-968A-48FC-A0F9-52D14C7A42D5}" name="Imie i Nazwisko">
      <calculatedColumnFormula>VLOOKUP(A2,Kursantki!A:B,2,0)</calculatedColumnFormula>
    </tableColumn>
    <tableColumn id="3" xr3:uid="{040D0596-3CF9-498E-8EEA-CB4319307AD2}" name="Platnosc" dataDxfId="3" dataCellStyle="Neutralny"/>
    <tableColumn id="4" xr3:uid="{74B3A28E-C7B9-4929-8865-2B50EC17AFF3}" name="Ostatnia platnosc" dataDxfId="2"/>
    <tableColumn id="5" xr3:uid="{19306815-860F-4292-A31A-07BF5C7EF478}" name="Nastepna platnosc" dataDxfId="1">
      <calculatedColumnFormula>VLOOKUP(B2,Kursantki!B:H,7,0)</calculatedColumnFormula>
    </tableColumn>
    <tableColumn id="6" xr3:uid="{5D6F4BAD-DBCD-4007-84F9-70D5CAD577E2}" name="Status platnosci">
      <calculatedColumnFormula>IF($E2&gt;$I$1,"Opłacony","Brak płatności")</calculatedColumnFormula>
    </tableColumn>
    <tableColumn id="7" xr3:uid="{016D6A54-7834-48BA-A498-5961BB37B469}" name="Historia"/>
    <tableColumn id="8" xr3:uid="{F0252F74-8B29-4C26-AD54-B46AC7341208}" name="Uwagi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kasia21272@wp.pl" TargetMode="External"/><Relationship Id="rId13" Type="http://schemas.openxmlformats.org/officeDocument/2006/relationships/hyperlink" Target="mailto:kuczynska212@gmail.com" TargetMode="External"/><Relationship Id="rId18" Type="http://schemas.openxmlformats.org/officeDocument/2006/relationships/hyperlink" Target="mailto:martaptaszynska05@gmail.com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mailto:samantaa.lesniarek@gmail.com" TargetMode="External"/><Relationship Id="rId21" Type="http://schemas.openxmlformats.org/officeDocument/2006/relationships/hyperlink" Target="mailto:ala@krobia.net.pl" TargetMode="External"/><Relationship Id="rId7" Type="http://schemas.openxmlformats.org/officeDocument/2006/relationships/hyperlink" Target="mailto:natuska-k@o2.pl" TargetMode="External"/><Relationship Id="rId12" Type="http://schemas.openxmlformats.org/officeDocument/2006/relationships/hyperlink" Target="mailto:lidia-kosmacinska@wp.pl" TargetMode="External"/><Relationship Id="rId17" Type="http://schemas.openxmlformats.org/officeDocument/2006/relationships/hyperlink" Target="mailto:natasza.brylewska@gmail.com" TargetMode="External"/><Relationship Id="rId25" Type="http://schemas.openxmlformats.org/officeDocument/2006/relationships/printerSettings" Target="../printerSettings/printerSettings7.bin"/><Relationship Id="rId2" Type="http://schemas.openxmlformats.org/officeDocument/2006/relationships/hyperlink" Target="mailto:dominika.marcinkaniec@vp.ppl" TargetMode="External"/><Relationship Id="rId16" Type="http://schemas.openxmlformats.org/officeDocument/2006/relationships/hyperlink" Target="mailto:Ourpassion_rollerskate@onet.pl" TargetMode="External"/><Relationship Id="rId20" Type="http://schemas.openxmlformats.org/officeDocument/2006/relationships/hyperlink" Target="mailto:Julkapazola@gmail.com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mailto:przykladowyemail@domena.com" TargetMode="External"/><Relationship Id="rId6" Type="http://schemas.openxmlformats.org/officeDocument/2006/relationships/hyperlink" Target="mailto:Gruchociakjulia@gmail.com" TargetMode="External"/><Relationship Id="rId11" Type="http://schemas.openxmlformats.org/officeDocument/2006/relationships/hyperlink" Target="mailto:kika3757@gmail.com" TargetMode="External"/><Relationship Id="rId24" Type="http://schemas.openxmlformats.org/officeDocument/2006/relationships/hyperlink" Target="mailto:anna.grzemska84@interia.pl" TargetMode="External"/><Relationship Id="rId5" Type="http://schemas.openxmlformats.org/officeDocument/2006/relationships/hyperlink" Target="mailto:zosiaszymczak04@gmail.com" TargetMode="External"/><Relationship Id="rId15" Type="http://schemas.openxmlformats.org/officeDocument/2006/relationships/hyperlink" Target="mailto:aneta.j@interia.eu" TargetMode="External"/><Relationship Id="rId23" Type="http://schemas.openxmlformats.org/officeDocument/2006/relationships/hyperlink" Target="mailto:nikola.rydian@spoko.p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mailto:Daria.talaga@onet.pl" TargetMode="External"/><Relationship Id="rId19" Type="http://schemas.openxmlformats.org/officeDocument/2006/relationships/hyperlink" Target="mailto:lutypatrycja0@gmail.com" TargetMode="External"/><Relationship Id="rId31" Type="http://schemas.openxmlformats.org/officeDocument/2006/relationships/table" Target="../tables/table1.xml"/><Relationship Id="rId4" Type="http://schemas.openxmlformats.org/officeDocument/2006/relationships/hyperlink" Target="mailto:aklonekq@wp.pl" TargetMode="External"/><Relationship Id="rId9" Type="http://schemas.openxmlformats.org/officeDocument/2006/relationships/hyperlink" Target="mailto:Marta.krajka1@o2.pl" TargetMode="External"/><Relationship Id="rId14" Type="http://schemas.openxmlformats.org/officeDocument/2006/relationships/hyperlink" Target="mailto:Ourpassion_rollerskate@onet.pl" TargetMode="External"/><Relationship Id="rId22" Type="http://schemas.openxmlformats.org/officeDocument/2006/relationships/hyperlink" Target="mailto:dominikasarbinowska87@gmail.com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 tint="-0.499984740745262"/>
  </sheetPr>
  <dimension ref="A1:Z60"/>
  <sheetViews>
    <sheetView zoomScaleNormal="100" workbookViewId="0">
      <pane ySplit="1" topLeftCell="A2" activePane="bottomLeft" state="frozen"/>
      <selection pane="bottomLeft" activeCell="K9" sqref="K9"/>
    </sheetView>
  </sheetViews>
  <sheetFormatPr defaultColWidth="8.85546875" defaultRowHeight="15" x14ac:dyDescent="0.25"/>
  <cols>
    <col min="1" max="1" width="8.7109375" bestFit="1" customWidth="1"/>
    <col min="2" max="2" width="22.42578125" bestFit="1" customWidth="1"/>
    <col min="3" max="3" width="10.42578125" bestFit="1" customWidth="1"/>
    <col min="4" max="4" width="14" bestFit="1" customWidth="1"/>
    <col min="5" max="5" width="26.85546875" bestFit="1" customWidth="1"/>
    <col min="6" max="6" width="19.42578125" style="1" customWidth="1"/>
    <col min="7" max="26" width="9.140625" customWidth="1"/>
  </cols>
  <sheetData>
    <row r="1" spans="1:26" ht="13.5" customHeight="1" thickBot="1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42">
        <v>45145</v>
      </c>
      <c r="H1" s="41">
        <v>45152</v>
      </c>
      <c r="I1" s="41">
        <v>45159</v>
      </c>
      <c r="J1" s="42">
        <v>45166</v>
      </c>
      <c r="K1" s="41">
        <v>45173</v>
      </c>
      <c r="L1" s="41">
        <v>45180</v>
      </c>
      <c r="M1" s="41">
        <v>45187</v>
      </c>
      <c r="N1" s="42">
        <v>45194</v>
      </c>
      <c r="O1" s="41">
        <v>45201</v>
      </c>
      <c r="P1" s="41">
        <v>45208</v>
      </c>
      <c r="Q1" s="41">
        <v>45215</v>
      </c>
      <c r="R1" s="42">
        <v>45222</v>
      </c>
      <c r="S1" s="41">
        <v>45229</v>
      </c>
      <c r="T1" s="41">
        <v>45236</v>
      </c>
      <c r="U1" s="41">
        <v>45243</v>
      </c>
      <c r="V1" s="42">
        <v>45250</v>
      </c>
      <c r="W1" s="41">
        <v>45257</v>
      </c>
      <c r="X1" s="41">
        <v>45264</v>
      </c>
      <c r="Y1" s="41">
        <v>45271</v>
      </c>
      <c r="Z1" s="42">
        <v>45278</v>
      </c>
    </row>
    <row r="2" spans="1:26" x14ac:dyDescent="0.25">
      <c r="A2" s="16" t="s">
        <v>6</v>
      </c>
      <c r="B2" s="17" t="str">
        <f>VLOOKUP(A2,Grupy!$B:$G,2)</f>
        <v>PAULINA KIDS</v>
      </c>
      <c r="C2" s="18">
        <f>VLOOKUP(A2,Grupy!$B:$G,4)</f>
        <v>0.66666666666666663</v>
      </c>
      <c r="D2" s="18" t="str">
        <f>VLOOKUP(A2,Grupy!$B:$G,6)</f>
        <v>Paulina Bartkowiak</v>
      </c>
      <c r="E2" s="16"/>
      <c r="F2" s="19" t="e">
        <f>VLOOKUP(E2,Platnosc!$B:$E,4,0)</f>
        <v>#N/A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5">
      <c r="A3" s="20" t="s">
        <v>6</v>
      </c>
      <c r="B3" s="21" t="str">
        <f>VLOOKUP(A3,Grupy!$B:$G,2)</f>
        <v>PAULINA KIDS</v>
      </c>
      <c r="C3" s="22">
        <f>VLOOKUP(A3,Grupy!$B:$G,4)</f>
        <v>0.66666666666666663</v>
      </c>
      <c r="D3" s="22" t="str">
        <f>VLOOKUP(A3,Grupy!$B:$G,6)</f>
        <v>Paulina Bartkowiak</v>
      </c>
      <c r="E3" s="20"/>
      <c r="F3" s="23" t="e">
        <f>VLOOKUP(E3,Platnosc!$B:$E,4,0)</f>
        <v>#N/A</v>
      </c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5">
      <c r="A4" s="24" t="s">
        <v>6</v>
      </c>
      <c r="B4" s="25" t="str">
        <f>VLOOKUP(A4,Grupy!$B:$G,2)</f>
        <v>PAULINA KIDS</v>
      </c>
      <c r="C4" s="26">
        <f>VLOOKUP(A4,Grupy!$B:$G,4)</f>
        <v>0.66666666666666663</v>
      </c>
      <c r="D4" s="26" t="str">
        <f>VLOOKUP(A4,Grupy!$B:$G,6)</f>
        <v>Paulina Bartkowiak</v>
      </c>
      <c r="E4" s="24"/>
      <c r="F4" s="27" t="e">
        <f>VLOOKUP(E4,Platnosc!$B:$E,4,0)</f>
        <v>#N/A</v>
      </c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5">
      <c r="A5" s="20" t="s">
        <v>6</v>
      </c>
      <c r="B5" s="21" t="str">
        <f>VLOOKUP(A5,Grupy!$B:$G,2)</f>
        <v>PAULINA KIDS</v>
      </c>
      <c r="C5" s="22">
        <f>VLOOKUP(A5,Grupy!$B:$G,4)</f>
        <v>0.66666666666666663</v>
      </c>
      <c r="D5" s="22" t="str">
        <f>VLOOKUP(A5,Grupy!$B:$G,6)</f>
        <v>Paulina Bartkowiak</v>
      </c>
      <c r="E5" s="20"/>
      <c r="F5" s="23" t="e">
        <f>VLOOKUP(E5,Platnosc!$B:$E,4,0)</f>
        <v>#N/A</v>
      </c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5">
      <c r="A6" s="24" t="s">
        <v>6</v>
      </c>
      <c r="B6" s="25" t="str">
        <f>VLOOKUP(A6,Grupy!$B:$G,2)</f>
        <v>PAULINA KIDS</v>
      </c>
      <c r="C6" s="26">
        <f>VLOOKUP(A6,Grupy!$B:$G,4)</f>
        <v>0.66666666666666663</v>
      </c>
      <c r="D6" s="26" t="str">
        <f>VLOOKUP(A6,Grupy!$B:$G,6)</f>
        <v>Paulina Bartkowiak</v>
      </c>
      <c r="E6" s="24"/>
      <c r="F6" s="27" t="e">
        <f>VLOOKUP(E6,Platnosc!$B:$E,4,0)</f>
        <v>#N/A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5">
      <c r="A7" s="20" t="s">
        <v>6</v>
      </c>
      <c r="B7" s="21" t="str">
        <f>VLOOKUP(A7,Grupy!$B:$G,2)</f>
        <v>PAULINA KIDS</v>
      </c>
      <c r="C7" s="22">
        <f>VLOOKUP(A7,Grupy!$B:$G,4)</f>
        <v>0.66666666666666663</v>
      </c>
      <c r="D7" s="22" t="str">
        <f>VLOOKUP(A7,Grupy!$B:$G,6)</f>
        <v>Paulina Bartkowiak</v>
      </c>
      <c r="E7" s="20"/>
      <c r="F7" s="23" t="e">
        <f>VLOOKUP(E7,Platnosc!$B:$E,4,0)</f>
        <v>#N/A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5">
      <c r="A8" s="24" t="s">
        <v>6</v>
      </c>
      <c r="B8" s="25" t="str">
        <f>VLOOKUP(A8,Grupy!$B:$G,2)</f>
        <v>PAULINA KIDS</v>
      </c>
      <c r="C8" s="26">
        <f>VLOOKUP(A8,Grupy!$B:$G,4)</f>
        <v>0.66666666666666663</v>
      </c>
      <c r="D8" s="26" t="str">
        <f>VLOOKUP(A8,Grupy!$B:$G,6)</f>
        <v>Paulina Bartkowiak</v>
      </c>
      <c r="E8" s="24"/>
      <c r="F8" s="27" t="e">
        <f>VLOOKUP(E8,Platnosc!$B:$E,4,0)</f>
        <v>#N/A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A9" s="20" t="s">
        <v>7</v>
      </c>
      <c r="B9" s="21" t="str">
        <f>VLOOKUP(A9,Grupy!$B:$G,2)</f>
        <v xml:space="preserve">DOROTA PODSTAWA </v>
      </c>
      <c r="C9" s="22">
        <f>VLOOKUP(A9,Grupy!$B:$G,4)</f>
        <v>0.71180555555555547</v>
      </c>
      <c r="D9" s="22" t="str">
        <f>VLOOKUP(A9,Grupy!$B:$G,6)</f>
        <v>Dorota Polna</v>
      </c>
      <c r="E9" s="20" t="s">
        <v>8</v>
      </c>
      <c r="F9" s="23">
        <f>VLOOKUP(E9,Platnosc!$B:$E,4,0)</f>
        <v>45194</v>
      </c>
      <c r="G9" s="13"/>
      <c r="H9" s="13"/>
      <c r="I9" s="13"/>
      <c r="J9" s="13"/>
      <c r="K9" s="13"/>
      <c r="L9" s="13" t="s">
        <v>9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A10" s="24" t="s">
        <v>7</v>
      </c>
      <c r="B10" s="25" t="str">
        <f>VLOOKUP(A10,Grupy!$B:$G,2)</f>
        <v xml:space="preserve">DOROTA PODSTAWA </v>
      </c>
      <c r="C10" s="26">
        <f>VLOOKUP(A10,Grupy!$B:$G,4)</f>
        <v>0.71180555555555547</v>
      </c>
      <c r="D10" s="26" t="str">
        <f>VLOOKUP(A10,Grupy!$B:$G,6)</f>
        <v>Dorota Polna</v>
      </c>
      <c r="E10" s="24" t="s">
        <v>10</v>
      </c>
      <c r="F10" s="27">
        <f>VLOOKUP(E10,Platnosc!$B:$E,4,0)</f>
        <v>45166</v>
      </c>
      <c r="G10" s="13"/>
      <c r="H10" s="13"/>
      <c r="I10" s="13"/>
      <c r="J10" s="13"/>
      <c r="K10" s="13"/>
      <c r="L10" s="13" t="s">
        <v>11</v>
      </c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A11" s="20" t="s">
        <v>7</v>
      </c>
      <c r="B11" s="21" t="str">
        <f>VLOOKUP(A11,Grupy!$B:$G,2)</f>
        <v xml:space="preserve">DOROTA PODSTAWA </v>
      </c>
      <c r="C11" s="22">
        <f>VLOOKUP(A11,Grupy!$B:$G,4)</f>
        <v>0.71180555555555547</v>
      </c>
      <c r="D11" s="22" t="str">
        <f>VLOOKUP(A11,Grupy!$B:$G,6)</f>
        <v>Dorota Polna</v>
      </c>
      <c r="E11" s="20" t="s">
        <v>12</v>
      </c>
      <c r="F11" s="23">
        <f>VLOOKUP(E11,Platnosc!$B:$E,4,0)</f>
        <v>45166</v>
      </c>
      <c r="G11" s="13"/>
      <c r="H11" s="13"/>
      <c r="I11" s="13"/>
      <c r="J11" s="13"/>
      <c r="K11" s="13"/>
      <c r="L11" s="13" t="s">
        <v>13</v>
      </c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A12" s="24" t="s">
        <v>7</v>
      </c>
      <c r="B12" s="25" t="str">
        <f>VLOOKUP(A12,Grupy!$B:$G,2)</f>
        <v xml:space="preserve">DOROTA PODSTAWA </v>
      </c>
      <c r="C12" s="26">
        <f>VLOOKUP(A12,Grupy!$B:$G,4)</f>
        <v>0.71180555555555547</v>
      </c>
      <c r="D12" s="26" t="str">
        <f>VLOOKUP(A12,Grupy!$B:$G,6)</f>
        <v>Dorota Polna</v>
      </c>
      <c r="E12" s="24" t="s">
        <v>14</v>
      </c>
      <c r="F12" s="27">
        <f>VLOOKUP(E12,Platnosc!$B:$E,4,0)</f>
        <v>45173</v>
      </c>
      <c r="G12" s="13"/>
      <c r="H12" s="13"/>
      <c r="I12" s="13"/>
      <c r="J12" s="13"/>
      <c r="K12" s="13"/>
      <c r="L12" s="13" t="s">
        <v>15</v>
      </c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A13" s="20" t="s">
        <v>7</v>
      </c>
      <c r="B13" s="21" t="str">
        <f>VLOOKUP(A13,Grupy!$B:$G,2)</f>
        <v xml:space="preserve">DOROTA PODSTAWA </v>
      </c>
      <c r="C13" s="22">
        <f>VLOOKUP(A13,Grupy!$B:$G,4)</f>
        <v>0.71180555555555547</v>
      </c>
      <c r="D13" s="22" t="str">
        <f>VLOOKUP(A13,Grupy!$B:$G,6)</f>
        <v>Dorota Polna</v>
      </c>
      <c r="E13" s="20" t="s">
        <v>16</v>
      </c>
      <c r="F13" s="23">
        <f>VLOOKUP(E13,Platnosc!$B:$E,4,0)</f>
        <v>45173</v>
      </c>
      <c r="G13" s="13"/>
      <c r="H13" s="13"/>
      <c r="I13" s="13"/>
      <c r="J13" s="13"/>
      <c r="K13" s="13"/>
      <c r="L13" s="13" t="s">
        <v>13</v>
      </c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A14" s="24" t="s">
        <v>7</v>
      </c>
      <c r="B14" s="25" t="str">
        <f>VLOOKUP(A14,Grupy!$B:$G,2)</f>
        <v xml:space="preserve">DOROTA PODSTAWA </v>
      </c>
      <c r="C14" s="26">
        <f>VLOOKUP(A14,Grupy!$B:$G,4)</f>
        <v>0.71180555555555547</v>
      </c>
      <c r="D14" s="26" t="str">
        <f>VLOOKUP(A14,Grupy!$B:$G,6)</f>
        <v>Dorota Polna</v>
      </c>
      <c r="E14" s="24" t="s">
        <v>17</v>
      </c>
      <c r="F14" s="27">
        <f>VLOOKUP(E14,Platnosc!$B:$E,4,0)</f>
        <v>45110</v>
      </c>
      <c r="G14" s="13"/>
      <c r="H14" s="13"/>
      <c r="I14" s="13"/>
      <c r="J14" s="13"/>
      <c r="K14" s="13"/>
      <c r="L14" s="13" t="s">
        <v>18</v>
      </c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A15" s="20" t="s">
        <v>7</v>
      </c>
      <c r="B15" s="21" t="str">
        <f>VLOOKUP(A15,Grupy!$B:$G,2)</f>
        <v xml:space="preserve">DOROTA PODSTAWA </v>
      </c>
      <c r="C15" s="22">
        <f>VLOOKUP(A15,Grupy!$B:$G,4)</f>
        <v>0.71180555555555547</v>
      </c>
      <c r="D15" s="22" t="str">
        <f>VLOOKUP(A15,Grupy!$B:$G,6)</f>
        <v>Dorota Polna</v>
      </c>
      <c r="E15" s="20"/>
      <c r="F15" s="23" t="e">
        <f>VLOOKUP(E15,Platnosc!$B:$E,4,0)</f>
        <v>#N/A</v>
      </c>
      <c r="G15" s="13"/>
      <c r="H15" s="13"/>
      <c r="I15" s="13"/>
      <c r="J15" s="13"/>
      <c r="K15" s="13"/>
      <c r="L15" s="13" t="s">
        <v>19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A16" s="24" t="s">
        <v>7</v>
      </c>
      <c r="B16" s="25" t="str">
        <f>VLOOKUP(A16,Grupy!$B:$G,2)</f>
        <v xml:space="preserve">DOROTA PODSTAWA </v>
      </c>
      <c r="C16" s="26">
        <f>VLOOKUP(A16,Grupy!$B:$G,4)</f>
        <v>0.71180555555555547</v>
      </c>
      <c r="D16" s="26" t="str">
        <f>VLOOKUP(A16,Grupy!$B:$G,6)</f>
        <v>Dorota Polna</v>
      </c>
      <c r="E16" s="24"/>
      <c r="F16" s="27" t="e">
        <f>VLOOKUP(E16,Platnosc!$B:$E,4,0)</f>
        <v>#N/A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5">
      <c r="A17" s="20" t="s">
        <v>20</v>
      </c>
      <c r="B17" s="21" t="str">
        <f>VLOOKUP(A17,Grupy!$B:$G,2)</f>
        <v>DOROTA PRIV</v>
      </c>
      <c r="C17" s="22">
        <f>VLOOKUP(A17,Grupy!$B:$G,4)</f>
        <v>0.75694444444444453</v>
      </c>
      <c r="D17" s="22" t="str">
        <f>VLOOKUP(A17,Grupy!$B:$G,6)</f>
        <v>Dorota Polna</v>
      </c>
      <c r="E17" s="20"/>
      <c r="F17" s="23" t="e">
        <f>VLOOKUP(E17,Platnosc!$B:$E,4,0)</f>
        <v>#N/A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5">
      <c r="A18" s="24" t="s">
        <v>21</v>
      </c>
      <c r="B18" s="25" t="str">
        <f>VLOOKUP(A18,Grupy!$B:$G,2)</f>
        <v>DAGA ŚREDNI</v>
      </c>
      <c r="C18" s="26">
        <f>VLOOKUP(A18,Grupy!$B:$G,4)</f>
        <v>0.80555555555555547</v>
      </c>
      <c r="D18" s="26" t="str">
        <f>VLOOKUP(A18,Grupy!$B:$G,6)</f>
        <v>Dagmara Binkowska</v>
      </c>
      <c r="E18" s="24" t="s">
        <v>22</v>
      </c>
      <c r="F18" s="27">
        <f>VLOOKUP(E18,Platnosc!$B:$E,4,0)</f>
        <v>45093</v>
      </c>
      <c r="G18" s="13"/>
      <c r="H18" s="13"/>
      <c r="I18" s="13"/>
      <c r="J18" s="13"/>
      <c r="K18" s="13"/>
      <c r="L18" s="13" t="s">
        <v>23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5">
      <c r="A19" s="20" t="s">
        <v>21</v>
      </c>
      <c r="B19" s="21" t="str">
        <f>VLOOKUP(A19,Grupy!$B:$G,2)</f>
        <v>DAGA ŚREDNI</v>
      </c>
      <c r="C19" s="22">
        <f>VLOOKUP(A19,Grupy!$B:$G,4)</f>
        <v>0.80555555555555547</v>
      </c>
      <c r="D19" s="22" t="str">
        <f>VLOOKUP(A19,Grupy!$B:$G,6)</f>
        <v>Dagmara Binkowska</v>
      </c>
      <c r="E19" s="20" t="s">
        <v>24</v>
      </c>
      <c r="F19" s="23">
        <f>VLOOKUP(E19,Platnosc!$B:$E,4,0)</f>
        <v>45180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5">
      <c r="A20" s="24" t="s">
        <v>21</v>
      </c>
      <c r="B20" s="25" t="str">
        <f>VLOOKUP(A20,Grupy!$B:$G,2)</f>
        <v>DAGA ŚREDNI</v>
      </c>
      <c r="C20" s="26">
        <f>VLOOKUP(A20,Grupy!$B:$G,4)</f>
        <v>0.80555555555555547</v>
      </c>
      <c r="D20" s="26" t="str">
        <f>VLOOKUP(A20,Grupy!$B:$G,6)</f>
        <v>Dagmara Binkowska</v>
      </c>
      <c r="E20" s="24" t="s">
        <v>25</v>
      </c>
      <c r="F20" s="27">
        <f>VLOOKUP(E20,Platnosc!$B:$E,4,0)</f>
        <v>45190</v>
      </c>
      <c r="G20" s="13"/>
      <c r="H20" s="13"/>
      <c r="I20" s="13"/>
      <c r="J20" s="13"/>
      <c r="K20" s="13"/>
      <c r="L20" s="13" t="s">
        <v>23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5">
      <c r="A21" s="20" t="s">
        <v>21</v>
      </c>
      <c r="B21" s="21" t="str">
        <f>VLOOKUP(A21,Grupy!$B:$G,2)</f>
        <v>DAGA ŚREDNI</v>
      </c>
      <c r="C21" s="22">
        <f>VLOOKUP(A21,Grupy!$B:$G,4)</f>
        <v>0.80555555555555547</v>
      </c>
      <c r="D21" s="22" t="str">
        <f>VLOOKUP(A21,Grupy!$B:$G,6)</f>
        <v>Dagmara Binkowska</v>
      </c>
      <c r="E21" s="20" t="s">
        <v>26</v>
      </c>
      <c r="F21" s="23">
        <f>VLOOKUP(E21,Platnosc!$B:$E,4,0)</f>
        <v>45131</v>
      </c>
      <c r="G21" s="13"/>
      <c r="H21" s="13"/>
      <c r="I21" s="13"/>
      <c r="J21" s="13"/>
      <c r="K21" s="13"/>
      <c r="L21" s="13" t="s">
        <v>23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5">
      <c r="A22" s="24" t="s">
        <v>21</v>
      </c>
      <c r="B22" s="25" t="str">
        <f>VLOOKUP(A22,Grupy!$B:$G,2)</f>
        <v>DAGA ŚREDNI</v>
      </c>
      <c r="C22" s="26">
        <f>VLOOKUP(A22,Grupy!$B:$G,4)</f>
        <v>0.80555555555555547</v>
      </c>
      <c r="D22" s="26" t="str">
        <f>VLOOKUP(A22,Grupy!$B:$G,6)</f>
        <v>Dagmara Binkowska</v>
      </c>
      <c r="E22" s="24" t="s">
        <v>27</v>
      </c>
      <c r="F22" s="27">
        <f>VLOOKUP(E22,Platnosc!$B:$E,4,0)</f>
        <v>45175</v>
      </c>
      <c r="G22" s="13"/>
      <c r="H22" s="13"/>
      <c r="I22" s="13"/>
      <c r="J22" s="13"/>
      <c r="K22" s="13"/>
      <c r="L22" s="13" t="s">
        <v>23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5">
      <c r="A23" s="20" t="s">
        <v>21</v>
      </c>
      <c r="B23" s="21" t="str">
        <f>VLOOKUP(A23,Grupy!$B:$G,2)</f>
        <v>DAGA ŚREDNI</v>
      </c>
      <c r="C23" s="22">
        <f>VLOOKUP(A23,Grupy!$B:$G,4)</f>
        <v>0.80555555555555547</v>
      </c>
      <c r="D23" s="22" t="str">
        <f>VLOOKUP(A23,Grupy!$B:$G,6)</f>
        <v>Dagmara Binkowska</v>
      </c>
      <c r="E23" s="20" t="s">
        <v>28</v>
      </c>
      <c r="F23" s="23">
        <f>VLOOKUP(E23,Platnosc!$B:$E,4,0)</f>
        <v>45187</v>
      </c>
      <c r="G23" s="13"/>
      <c r="H23" s="13"/>
      <c r="I23" s="13"/>
      <c r="J23" s="13"/>
      <c r="K23" s="13"/>
      <c r="L23" s="13" t="s">
        <v>23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5">
      <c r="A24" s="24" t="s">
        <v>21</v>
      </c>
      <c r="B24" s="25" t="str">
        <f>VLOOKUP(A24,Grupy!$B:$G,2)</f>
        <v>DAGA ŚREDNI</v>
      </c>
      <c r="C24" s="26">
        <f>VLOOKUP(A24,Grupy!$B:$G,4)</f>
        <v>0.80555555555555547</v>
      </c>
      <c r="D24" s="26" t="str">
        <f>VLOOKUP(A24,Grupy!$B:$G,6)</f>
        <v>Dagmara Binkowska</v>
      </c>
      <c r="E24" s="24" t="s">
        <v>29</v>
      </c>
      <c r="F24" s="27">
        <f>VLOOKUP(E24,Platnosc!$B:$E,4,0)</f>
        <v>45175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5">
      <c r="A25" s="20" t="s">
        <v>21</v>
      </c>
      <c r="B25" s="21" t="str">
        <f>VLOOKUP(A25,Grupy!$B:$G,2)</f>
        <v>DAGA ŚREDNI</v>
      </c>
      <c r="C25" s="22">
        <f>VLOOKUP(A25,Grupy!$B:$G,4)</f>
        <v>0.80555555555555547</v>
      </c>
      <c r="D25" s="22" t="str">
        <f>VLOOKUP(A25,Grupy!$B:$G,6)</f>
        <v>Dagmara Binkowska</v>
      </c>
      <c r="E25" s="20" t="s">
        <v>241</v>
      </c>
      <c r="F25" s="23">
        <f>VLOOKUP(E25,Platnosc!$B:$E,4,0)</f>
        <v>45152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5">
      <c r="A26" s="24" t="s">
        <v>30</v>
      </c>
      <c r="B26" s="25" t="str">
        <f>VLOOKUP(A26,Grupy!$B:$G,2)</f>
        <v>DAGA EXOTIC</v>
      </c>
      <c r="C26" s="26">
        <f>VLOOKUP(A26,Grupy!$B:$G,4)</f>
        <v>0.85416666666666663</v>
      </c>
      <c r="D26" s="26" t="str">
        <f>VLOOKUP(A26,Grupy!$B:$G,6)</f>
        <v>Dagmara Binkowska</v>
      </c>
      <c r="E26" s="24" t="s">
        <v>31</v>
      </c>
      <c r="F26" s="27">
        <f>VLOOKUP(E26,Platnosc!$B:$E,4,0)</f>
        <v>45195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5">
      <c r="A27" s="20" t="s">
        <v>30</v>
      </c>
      <c r="B27" s="21" t="str">
        <f>VLOOKUP(A27,Grupy!$B:$G,2)</f>
        <v>DAGA EXOTIC</v>
      </c>
      <c r="C27" s="22">
        <f>VLOOKUP(A27,Grupy!$B:$G,4)</f>
        <v>0.85416666666666663</v>
      </c>
      <c r="D27" s="22" t="str">
        <f>VLOOKUP(A27,Grupy!$B:$G,6)</f>
        <v>Dagmara Binkowska</v>
      </c>
      <c r="E27" s="20" t="s">
        <v>226</v>
      </c>
      <c r="F27" s="23">
        <f>VLOOKUP(E27,Platnosc!$B:$E,4,0)</f>
        <v>45196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5">
      <c r="A28" s="25" t="s">
        <v>30</v>
      </c>
      <c r="B28" s="25" t="str">
        <f>VLOOKUP(A28,Grupy!$B:$G,2)</f>
        <v>DAGA EXOTIC</v>
      </c>
      <c r="C28" s="26">
        <f>VLOOKUP(A28,Grupy!$B:$G,4)</f>
        <v>0.85416666666666663</v>
      </c>
      <c r="D28" s="26" t="str">
        <f>VLOOKUP(A28,Grupy!$B:$G,6)</f>
        <v>Dagmara Binkowska</v>
      </c>
      <c r="E28" s="24" t="s">
        <v>247</v>
      </c>
      <c r="F28" s="27">
        <f>VLOOKUP(E28,Platnosc!$B:$E,4,0)</f>
        <v>0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5">
      <c r="A29" s="20" t="s">
        <v>30</v>
      </c>
      <c r="B29" s="21" t="str">
        <f>VLOOKUP(A29,Grupy!$B:$G,2)</f>
        <v>DAGA EXOTIC</v>
      </c>
      <c r="C29" s="22">
        <f>VLOOKUP(A29,Grupy!$B:$G,4)</f>
        <v>0.85416666666666663</v>
      </c>
      <c r="D29" s="22" t="str">
        <f>VLOOKUP(A29,Grupy!$B:$G,6)</f>
        <v>Dagmara Binkowska</v>
      </c>
      <c r="E29" s="20" t="s">
        <v>248</v>
      </c>
      <c r="F29" s="23" t="e">
        <f>VLOOKUP(E29,Platnosc!$B:$E,4,0)</f>
        <v>#N/A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5">
      <c r="A30" s="24" t="s">
        <v>30</v>
      </c>
      <c r="B30" s="25" t="str">
        <f>VLOOKUP(A30,Grupy!$B:$G,2)</f>
        <v>DAGA EXOTIC</v>
      </c>
      <c r="C30" s="26">
        <f>VLOOKUP(A30,Grupy!$B:$G,4)</f>
        <v>0.85416666666666663</v>
      </c>
      <c r="D30" s="26" t="str">
        <f>VLOOKUP(A30,Grupy!$B:$G,6)</f>
        <v>Dagmara Binkowska</v>
      </c>
      <c r="E30" s="24" t="s">
        <v>249</v>
      </c>
      <c r="F30" s="27" t="e">
        <f>VLOOKUP(E30,Platnosc!$B:$E,4,0)</f>
        <v>#N/A</v>
      </c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5">
      <c r="A31" s="20" t="s">
        <v>30</v>
      </c>
      <c r="B31" s="21" t="str">
        <f>VLOOKUP(A31,Grupy!$B:$G,2)</f>
        <v>DAGA EXOTIC</v>
      </c>
      <c r="C31" s="22">
        <f>VLOOKUP(A31,Grupy!$B:$G,4)</f>
        <v>0.85416666666666663</v>
      </c>
      <c r="D31" s="22" t="str">
        <f>VLOOKUP(A31,Grupy!$B:$G,6)</f>
        <v>Dagmara Binkowska</v>
      </c>
      <c r="E31" s="20"/>
      <c r="F31" s="23" t="e">
        <f>VLOOKUP(E31,Platnosc!$B:$E,4,0)</f>
        <v>#N/A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5">
      <c r="A32" s="24" t="s">
        <v>30</v>
      </c>
      <c r="B32" s="25" t="str">
        <f>VLOOKUP(A32,Grupy!$B:$G,2)</f>
        <v>DAGA EXOTIC</v>
      </c>
      <c r="C32" s="26">
        <f>VLOOKUP(A32,Grupy!$B:$G,4)</f>
        <v>0.85416666666666663</v>
      </c>
      <c r="D32" s="26" t="str">
        <f>VLOOKUP(A32,Grupy!$B:$G,6)</f>
        <v>Dagmara Binkowska</v>
      </c>
      <c r="E32" s="24"/>
      <c r="F32" s="27" t="e">
        <f>VLOOKUP(E32,Platnosc!$B:$E,4,0)</f>
        <v>#N/A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20"/>
      <c r="B33" s="21" t="e">
        <f>VLOOKUP(A33,Grupy!$B:$G,2)</f>
        <v>#N/A</v>
      </c>
      <c r="C33" s="22" t="e">
        <f>VLOOKUP(A33,Grupy!$B:$G,4)</f>
        <v>#N/A</v>
      </c>
      <c r="D33" s="22" t="e">
        <f>VLOOKUP(A33,Grupy!$B:$G,6)</f>
        <v>#N/A</v>
      </c>
      <c r="E33" s="20"/>
      <c r="F33" s="23" t="e">
        <f>VLOOKUP(E33,Platnosc!$B:$E,4,0)</f>
        <v>#N/A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24"/>
      <c r="B34" s="25" t="e">
        <f>VLOOKUP(A34,Grupy!$B:$G,2)</f>
        <v>#N/A</v>
      </c>
      <c r="C34" s="26" t="e">
        <f>VLOOKUP(A34,Grupy!$B:$G,4)</f>
        <v>#N/A</v>
      </c>
      <c r="D34" s="26" t="e">
        <f>VLOOKUP(A34,Grupy!$B:$G,6)</f>
        <v>#N/A</v>
      </c>
      <c r="E34" s="24"/>
      <c r="F34" s="27" t="e">
        <f>VLOOKUP(E34,Platnosc!$B:$E,4,0)</f>
        <v>#N/A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20"/>
      <c r="B35" s="21" t="e">
        <f>VLOOKUP(A35,Grupy!$B:$G,2)</f>
        <v>#N/A</v>
      </c>
      <c r="C35" s="22" t="e">
        <f>VLOOKUP(A35,Grupy!$B:$G,4)</f>
        <v>#N/A</v>
      </c>
      <c r="D35" s="22" t="e">
        <f>VLOOKUP(A35,Grupy!$B:$G,6)</f>
        <v>#N/A</v>
      </c>
      <c r="E35" s="20"/>
      <c r="F35" s="23" t="e">
        <f>VLOOKUP(E35,Platnosc!$B:$E,4,0)</f>
        <v>#N/A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24"/>
      <c r="B36" s="25" t="e">
        <f>VLOOKUP(A36,Grupy!$B:$G,2)</f>
        <v>#N/A</v>
      </c>
      <c r="C36" s="26" t="e">
        <f>VLOOKUP(A36,Grupy!$B:$G,4)</f>
        <v>#N/A</v>
      </c>
      <c r="D36" s="26" t="e">
        <f>VLOOKUP(A36,Grupy!$B:$G,6)</f>
        <v>#N/A</v>
      </c>
      <c r="E36" s="24"/>
      <c r="F36" s="27" t="e">
        <f>VLOOKUP(E36,Platnosc!$B:$E,4,0)</f>
        <v>#N/A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20"/>
      <c r="B37" s="21" t="e">
        <f>VLOOKUP(A37,Grupy!$B:$G,2)</f>
        <v>#N/A</v>
      </c>
      <c r="C37" s="22" t="e">
        <f>VLOOKUP(A37,Grupy!$B:$G,4)</f>
        <v>#N/A</v>
      </c>
      <c r="D37" s="22" t="e">
        <f>VLOOKUP(A37,Grupy!$B:$G,6)</f>
        <v>#N/A</v>
      </c>
      <c r="E37" s="20"/>
      <c r="F37" s="23" t="e">
        <f>VLOOKUP(E37,Platnosc!$B:$E,4,0)</f>
        <v>#N/A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24"/>
      <c r="B38" s="25" t="e">
        <f>VLOOKUP(A38,Grupy!$B:$G,2)</f>
        <v>#N/A</v>
      </c>
      <c r="C38" s="26" t="e">
        <f>VLOOKUP(A38,Grupy!$B:$G,4)</f>
        <v>#N/A</v>
      </c>
      <c r="D38" s="26" t="e">
        <f>VLOOKUP(A38,Grupy!$B:$G,6)</f>
        <v>#N/A</v>
      </c>
      <c r="E38" s="24"/>
      <c r="F38" s="27" t="e">
        <f>VLOOKUP(E38,Platnosc!$B:$E,4,0)</f>
        <v>#N/A</v>
      </c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20"/>
      <c r="B39" s="21" t="e">
        <f>VLOOKUP(A39,Grupy!$B:$G,2)</f>
        <v>#N/A</v>
      </c>
      <c r="C39" s="22" t="e">
        <f>VLOOKUP(A39,Grupy!$B:$G,4)</f>
        <v>#N/A</v>
      </c>
      <c r="D39" s="22" t="e">
        <f>VLOOKUP(A39,Grupy!$B:$G,6)</f>
        <v>#N/A</v>
      </c>
      <c r="E39" s="20"/>
      <c r="F39" s="23" t="e">
        <f>VLOOKUP(E39,Platnosc!$B:$E,4,0)</f>
        <v>#N/A</v>
      </c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24"/>
      <c r="B40" s="25" t="e">
        <f>VLOOKUP(A40,Grupy!$B:$G,2)</f>
        <v>#N/A</v>
      </c>
      <c r="C40" s="26" t="e">
        <f>VLOOKUP(A40,Grupy!$B:$G,4)</f>
        <v>#N/A</v>
      </c>
      <c r="D40" s="26" t="e">
        <f>VLOOKUP(A40,Grupy!$B:$G,6)</f>
        <v>#N/A</v>
      </c>
      <c r="E40" s="24"/>
      <c r="F40" s="27" t="e">
        <f>VLOOKUP(E40,Platnosc!$B:$E,4,0)</f>
        <v>#N/A</v>
      </c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20"/>
      <c r="B41" s="21" t="e">
        <f>VLOOKUP(A41,Grupy!$B:$G,2)</f>
        <v>#N/A</v>
      </c>
      <c r="C41" s="22" t="e">
        <f>VLOOKUP(A41,Grupy!$B:$G,4)</f>
        <v>#N/A</v>
      </c>
      <c r="D41" s="22" t="e">
        <f>VLOOKUP(A41,Grupy!$B:$G,6)</f>
        <v>#N/A</v>
      </c>
      <c r="E41" s="20"/>
      <c r="F41" s="23" t="e">
        <f>VLOOKUP(E41,Platnosc!$B:$E,4,0)</f>
        <v>#N/A</v>
      </c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24"/>
      <c r="B42" s="25" t="e">
        <f>VLOOKUP(A42,Grupy!$B:$G,2)</f>
        <v>#N/A</v>
      </c>
      <c r="C42" s="26" t="e">
        <f>VLOOKUP(A42,Grupy!$B:$G,4)</f>
        <v>#N/A</v>
      </c>
      <c r="D42" s="26" t="e">
        <f>VLOOKUP(A42,Grupy!$B:$G,6)</f>
        <v>#N/A</v>
      </c>
      <c r="E42" s="24"/>
      <c r="F42" s="27" t="e">
        <f>VLOOKUP(E42,Platnosc!$B:$E,4,0)</f>
        <v>#N/A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20"/>
      <c r="B43" s="21" t="e">
        <f>VLOOKUP(A43,Grupy!$B:$G,2)</f>
        <v>#N/A</v>
      </c>
      <c r="C43" s="22" t="e">
        <f>VLOOKUP(A43,Grupy!$B:$G,4)</f>
        <v>#N/A</v>
      </c>
      <c r="D43" s="22" t="e">
        <f>VLOOKUP(A43,Grupy!$B:$G,6)</f>
        <v>#N/A</v>
      </c>
      <c r="E43" s="20"/>
      <c r="F43" s="23" t="e">
        <f>VLOOKUP(E43,Platnosc!$B:$E,4,0)</f>
        <v>#N/A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24"/>
      <c r="B44" s="25" t="e">
        <f>VLOOKUP(A44,Grupy!$B:$G,2)</f>
        <v>#N/A</v>
      </c>
      <c r="C44" s="26" t="e">
        <f>VLOOKUP(A44,Grupy!$B:$G,4)</f>
        <v>#N/A</v>
      </c>
      <c r="D44" s="26" t="e">
        <f>VLOOKUP(A44,Grupy!$B:$G,6)</f>
        <v>#N/A</v>
      </c>
      <c r="E44" s="24"/>
      <c r="F44" s="27" t="e">
        <f>VLOOKUP(E44,Platnosc!$B:$E,4,0)</f>
        <v>#N/A</v>
      </c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20"/>
      <c r="B45" s="21" t="e">
        <f>VLOOKUP(A45,Grupy!$B:$G,2)</f>
        <v>#N/A</v>
      </c>
      <c r="C45" s="22" t="e">
        <f>VLOOKUP(A45,Grupy!$B:$G,4)</f>
        <v>#N/A</v>
      </c>
      <c r="D45" s="22" t="e">
        <f>VLOOKUP(A45,Grupy!$B:$G,6)</f>
        <v>#N/A</v>
      </c>
      <c r="E45" s="20"/>
      <c r="F45" s="23" t="e">
        <f>VLOOKUP(E45,Platnosc!$B:$E,4,0)</f>
        <v>#N/A</v>
      </c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24"/>
      <c r="B46" s="25" t="e">
        <f>VLOOKUP(A46,Grupy!$B:$G,2)</f>
        <v>#N/A</v>
      </c>
      <c r="C46" s="26" t="e">
        <f>VLOOKUP(A46,Grupy!$B:$G,4)</f>
        <v>#N/A</v>
      </c>
      <c r="D46" s="26" t="e">
        <f>VLOOKUP(A46,Grupy!$B:$G,6)</f>
        <v>#N/A</v>
      </c>
      <c r="E46" s="24"/>
      <c r="F46" s="27" t="e">
        <f>VLOOKUP(E46,Platnosc!$B:$E,4,0)</f>
        <v>#N/A</v>
      </c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20"/>
      <c r="B47" s="21" t="e">
        <f>VLOOKUP(A47,Grupy!$B:$G,2)</f>
        <v>#N/A</v>
      </c>
      <c r="C47" s="22" t="e">
        <f>VLOOKUP(A47,Grupy!$B:$G,4)</f>
        <v>#N/A</v>
      </c>
      <c r="D47" s="22" t="e">
        <f>VLOOKUP(A47,Grupy!$B:$G,6)</f>
        <v>#N/A</v>
      </c>
      <c r="E47" s="20"/>
      <c r="F47" s="23" t="e">
        <f>VLOOKUP(E47,Platnosc!$B:$E,4,0)</f>
        <v>#N/A</v>
      </c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24"/>
      <c r="B48" s="25" t="e">
        <f>VLOOKUP(A48,Grupy!$B:$G,2)</f>
        <v>#N/A</v>
      </c>
      <c r="C48" s="26" t="e">
        <f>VLOOKUP(A48,Grupy!$B:$G,4)</f>
        <v>#N/A</v>
      </c>
      <c r="D48" s="26" t="e">
        <f>VLOOKUP(A48,Grupy!$B:$G,6)</f>
        <v>#N/A</v>
      </c>
      <c r="E48" s="24"/>
      <c r="F48" s="27" t="e">
        <f>VLOOKUP(E48,Platnosc!$B:$E,4,0)</f>
        <v>#N/A</v>
      </c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20"/>
      <c r="B49" s="21" t="e">
        <f>VLOOKUP(A49,Grupy!$B:$G,2)</f>
        <v>#N/A</v>
      </c>
      <c r="C49" s="22" t="e">
        <f>VLOOKUP(A49,Grupy!$B:$G,4)</f>
        <v>#N/A</v>
      </c>
      <c r="D49" s="22" t="e">
        <f>VLOOKUP(A49,Grupy!$B:$G,6)</f>
        <v>#N/A</v>
      </c>
      <c r="E49" s="20"/>
      <c r="F49" s="23" t="e">
        <f>VLOOKUP(E49,Platnosc!$B:$E,4,0)</f>
        <v>#N/A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24"/>
      <c r="B50" s="25" t="e">
        <f>VLOOKUP(A50,Grupy!$B:$G,2)</f>
        <v>#N/A</v>
      </c>
      <c r="C50" s="26" t="e">
        <f>VLOOKUP(A50,Grupy!$B:$G,4)</f>
        <v>#N/A</v>
      </c>
      <c r="D50" s="26" t="e">
        <f>VLOOKUP(A50,Grupy!$B:$G,6)</f>
        <v>#N/A</v>
      </c>
      <c r="E50" s="24"/>
      <c r="F50" s="27" t="e">
        <f>VLOOKUP(E50,Platnosc!$B:$E,4,0)</f>
        <v>#N/A</v>
      </c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20"/>
      <c r="B51" s="21" t="e">
        <f>VLOOKUP(A51,Grupy!$B:$G,2)</f>
        <v>#N/A</v>
      </c>
      <c r="C51" s="22" t="e">
        <f>VLOOKUP(A51,Grupy!$B:$G,4)</f>
        <v>#N/A</v>
      </c>
      <c r="D51" s="22" t="e">
        <f>VLOOKUP(A51,Grupy!$B:$G,6)</f>
        <v>#N/A</v>
      </c>
      <c r="E51" s="20"/>
      <c r="F51" s="23" t="e">
        <f>VLOOKUP(E51,Platnosc!$B:$E,4,0)</f>
        <v>#N/A</v>
      </c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5">
      <c r="A52" s="24"/>
      <c r="B52" s="25" t="e">
        <f>VLOOKUP(A52,Grupy!$B:$G,2)</f>
        <v>#N/A</v>
      </c>
      <c r="C52" s="26" t="e">
        <f>VLOOKUP(A52,Grupy!$B:$G,4)</f>
        <v>#N/A</v>
      </c>
      <c r="D52" s="26" t="e">
        <f>VLOOKUP(A52,Grupy!$B:$G,6)</f>
        <v>#N/A</v>
      </c>
      <c r="E52" s="24"/>
      <c r="F52" s="27" t="e">
        <f>VLOOKUP(E52,Platnosc!$B:$E,4,0)</f>
        <v>#N/A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5">
      <c r="A53" s="20"/>
      <c r="B53" s="21" t="e">
        <f>VLOOKUP(A53,Grupy!$B:$G,2)</f>
        <v>#N/A</v>
      </c>
      <c r="C53" s="22" t="e">
        <f>VLOOKUP(A53,Grupy!$B:$G,4)</f>
        <v>#N/A</v>
      </c>
      <c r="D53" s="22" t="e">
        <f>VLOOKUP(A53,Grupy!$B:$G,6)</f>
        <v>#N/A</v>
      </c>
      <c r="E53" s="20"/>
      <c r="F53" s="23" t="e">
        <f>VLOOKUP(E53,Platnosc!$B:$E,4,0)</f>
        <v>#N/A</v>
      </c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5">
      <c r="A54" s="24"/>
      <c r="B54" s="25" t="e">
        <f>VLOOKUP(A54,Grupy!$B:$G,2)</f>
        <v>#N/A</v>
      </c>
      <c r="C54" s="26" t="e">
        <f>VLOOKUP(A54,Grupy!$B:$G,4)</f>
        <v>#N/A</v>
      </c>
      <c r="D54" s="26" t="e">
        <f>VLOOKUP(A54,Grupy!$B:$G,6)</f>
        <v>#N/A</v>
      </c>
      <c r="E54" s="24"/>
      <c r="F54" s="27" t="e">
        <f>VLOOKUP(E54,Platnosc!$B:$E,4,0)</f>
        <v>#N/A</v>
      </c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5">
      <c r="A55" s="20"/>
      <c r="B55" s="21" t="e">
        <f>VLOOKUP(A55,Grupy!$B:$G,2)</f>
        <v>#N/A</v>
      </c>
      <c r="C55" s="22" t="e">
        <f>VLOOKUP(A55,Grupy!$B:$G,4)</f>
        <v>#N/A</v>
      </c>
      <c r="D55" s="22" t="e">
        <f>VLOOKUP(A55,Grupy!$B:$G,6)</f>
        <v>#N/A</v>
      </c>
      <c r="E55" s="20"/>
      <c r="F55" s="23" t="e">
        <f>VLOOKUP(E55,Platnosc!$B:$E,4,0)</f>
        <v>#N/A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5">
      <c r="A56" s="24"/>
      <c r="B56" s="25" t="e">
        <f>VLOOKUP(A56,Grupy!$B:$G,2)</f>
        <v>#N/A</v>
      </c>
      <c r="C56" s="26" t="e">
        <f>VLOOKUP(A56,Grupy!$B:$G,4)</f>
        <v>#N/A</v>
      </c>
      <c r="D56" s="26" t="e">
        <f>VLOOKUP(A56,Grupy!$B:$G,6)</f>
        <v>#N/A</v>
      </c>
      <c r="E56" s="24"/>
      <c r="F56" s="27" t="e">
        <f>VLOOKUP(E56,Platnosc!$B:$E,4,0)</f>
        <v>#N/A</v>
      </c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5">
      <c r="A57" s="20"/>
      <c r="B57" s="21" t="e">
        <f>VLOOKUP(A57,Grupy!$B:$G,2)</f>
        <v>#N/A</v>
      </c>
      <c r="C57" s="22" t="e">
        <f>VLOOKUP(A57,Grupy!$B:$G,4)</f>
        <v>#N/A</v>
      </c>
      <c r="D57" s="22" t="e">
        <f>VLOOKUP(A57,Grupy!$B:$G,6)</f>
        <v>#N/A</v>
      </c>
      <c r="E57" s="20"/>
      <c r="F57" s="23" t="e">
        <f>VLOOKUP(E57,Platnosc!$B:$E,4,0)</f>
        <v>#N/A</v>
      </c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5">
      <c r="A58" s="24"/>
      <c r="B58" s="25" t="e">
        <f>VLOOKUP(A58,Grupy!$B:$G,2)</f>
        <v>#N/A</v>
      </c>
      <c r="C58" s="26" t="e">
        <f>VLOOKUP(A58,Grupy!$B:$G,4)</f>
        <v>#N/A</v>
      </c>
      <c r="D58" s="26" t="e">
        <f>VLOOKUP(A58,Grupy!$B:$G,6)</f>
        <v>#N/A</v>
      </c>
      <c r="E58" s="24"/>
      <c r="F58" s="27" t="e">
        <f>VLOOKUP(E58,Platnosc!$B:$E,4,0)</f>
        <v>#N/A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5">
      <c r="A59" s="20"/>
      <c r="B59" s="21" t="e">
        <f>VLOOKUP(A59,Grupy!$B:$G,2)</f>
        <v>#N/A</v>
      </c>
      <c r="C59" s="22" t="e">
        <f>VLOOKUP(A59,Grupy!$B:$G,4)</f>
        <v>#N/A</v>
      </c>
      <c r="D59" s="22" t="e">
        <f>VLOOKUP(A59,Grupy!$B:$G,6)</f>
        <v>#N/A</v>
      </c>
      <c r="E59" s="20"/>
      <c r="F59" s="23" t="e">
        <f>VLOOKUP(E59,Platnosc!$B:$E,4,0)</f>
        <v>#N/A</v>
      </c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5">
      <c r="A60" s="28"/>
      <c r="B60" s="25" t="e">
        <f>VLOOKUP(A60,Grupy!$B:$G,2)</f>
        <v>#N/A</v>
      </c>
      <c r="C60" s="26" t="e">
        <f>VLOOKUP(A60,Grupy!$B:$G,4)</f>
        <v>#N/A</v>
      </c>
      <c r="D60" s="26" t="e">
        <f>VLOOKUP(A60,Grupy!$B:$G,6)</f>
        <v>#N/A</v>
      </c>
      <c r="E60" s="28"/>
      <c r="F60" s="27" t="e">
        <f>VLOOKUP(E60,Platnosc!$B:$E,4,0)</f>
        <v>#N/A</v>
      </c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</sheetData>
  <sheetProtection selectLockedCells="1" selectUnlockedCells="1"/>
  <protectedRanges>
    <protectedRange password="C0A5" sqref="A1:F1048576" name="Range1"/>
  </protectedRanges>
  <phoneticPr fontId="1" type="noConversion"/>
  <conditionalFormatting sqref="G2:Z60">
    <cfRule type="expression" dxfId="34" priority="12">
      <formula>IF($F2&gt;=G$1,TRUE,)</formula>
    </cfRule>
  </conditionalFormatting>
  <conditionalFormatting sqref="A2:E60">
    <cfRule type="containsErrors" dxfId="33" priority="7">
      <formula>ISERROR(A2)</formula>
    </cfRule>
  </conditionalFormatting>
  <conditionalFormatting sqref="F2:F60">
    <cfRule type="containsErrors" dxfId="32" priority="5">
      <formula>ISERROR(F2)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22682E-FB60-4EEC-9E30-633607D45987}">
            <xm:f>IF($F2&lt;Platnosc!$I$1,TRUE,FALSE)</xm:f>
            <x14:dxf>
              <fill>
                <patternFill>
                  <bgColor rgb="FFFFC000"/>
                </patternFill>
              </fill>
            </x14:dxf>
          </x14:cfRule>
          <xm:sqref>F2:F60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4" tint="-0.249977111117893"/>
  </sheetPr>
  <dimension ref="A1:Z60"/>
  <sheetViews>
    <sheetView workbookViewId="0">
      <pane ySplit="1" topLeftCell="A17" activePane="bottomLeft" state="frozen"/>
      <selection pane="bottomLeft" activeCell="I34" sqref="I34:J34"/>
    </sheetView>
  </sheetViews>
  <sheetFormatPr defaultColWidth="8.85546875" defaultRowHeight="15" x14ac:dyDescent="0.25"/>
  <cols>
    <col min="1" max="1" width="8.7109375" bestFit="1" customWidth="1"/>
    <col min="2" max="2" width="18.42578125" bestFit="1" customWidth="1"/>
    <col min="3" max="3" width="10.42578125" bestFit="1" customWidth="1"/>
    <col min="4" max="4" width="14" bestFit="1" customWidth="1"/>
    <col min="5" max="5" width="26.140625" bestFit="1" customWidth="1"/>
    <col min="6" max="6" width="19.42578125" style="1" customWidth="1"/>
  </cols>
  <sheetData>
    <row r="1" spans="1:26" ht="13.5" customHeight="1" thickBot="1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41">
        <v>45139</v>
      </c>
      <c r="H1" s="42">
        <v>45146</v>
      </c>
      <c r="I1" s="41">
        <v>45153</v>
      </c>
      <c r="J1" s="41">
        <v>45160</v>
      </c>
      <c r="K1" s="42">
        <v>45167</v>
      </c>
      <c r="L1" s="41">
        <v>45174</v>
      </c>
      <c r="M1" s="41">
        <v>45181</v>
      </c>
      <c r="N1" s="42">
        <v>45188</v>
      </c>
      <c r="O1" s="41">
        <v>45195</v>
      </c>
      <c r="P1" s="41">
        <v>45202</v>
      </c>
      <c r="Q1" s="42">
        <v>45209</v>
      </c>
      <c r="R1" s="41">
        <v>45216</v>
      </c>
      <c r="S1" s="41">
        <v>45223</v>
      </c>
      <c r="T1" s="42">
        <v>45230</v>
      </c>
      <c r="U1" s="41">
        <v>45237</v>
      </c>
      <c r="V1" s="41">
        <v>45244</v>
      </c>
      <c r="W1" s="42">
        <v>45251</v>
      </c>
      <c r="X1" s="41">
        <v>45258</v>
      </c>
      <c r="Y1" s="41">
        <v>45265</v>
      </c>
      <c r="Z1" s="42">
        <v>45272</v>
      </c>
    </row>
    <row r="2" spans="1:26" x14ac:dyDescent="0.25">
      <c r="A2" s="16" t="s">
        <v>32</v>
      </c>
      <c r="B2" s="17" t="str">
        <f>VLOOKUP(A2,Grupy!B:G,2,0)</f>
        <v>ZUZIA ŚREDNI</v>
      </c>
      <c r="C2" s="18">
        <f>VLOOKUP(A2,Grupy!B:G,4,0)</f>
        <v>0.82638888888888884</v>
      </c>
      <c r="D2" s="18" t="str">
        <f>VLOOKUP(A2,Grupy!B:G,6,0)</f>
        <v>Zuzanna Kryś</v>
      </c>
      <c r="E2" s="18" t="s">
        <v>33</v>
      </c>
      <c r="F2" s="19">
        <f>VLOOKUP(E2,Platnosc!$B:$E,4,0)</f>
        <v>45188</v>
      </c>
      <c r="G2" s="13" t="s">
        <v>13</v>
      </c>
      <c r="H2" s="13" t="s">
        <v>9</v>
      </c>
      <c r="I2" s="13" t="s">
        <v>23</v>
      </c>
      <c r="J2" s="13" t="s">
        <v>34</v>
      </c>
      <c r="K2" s="13" t="s">
        <v>13</v>
      </c>
      <c r="L2" s="13" t="s">
        <v>35</v>
      </c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5">
      <c r="A3" s="20" t="s">
        <v>32</v>
      </c>
      <c r="B3" s="21" t="str">
        <f>VLOOKUP(A3,Grupy!B:G,2,0)</f>
        <v>ZUZIA ŚREDNI</v>
      </c>
      <c r="C3" s="22">
        <f>VLOOKUP(A3,Grupy!B:G,4,0)</f>
        <v>0.82638888888888884</v>
      </c>
      <c r="D3" s="22" t="str">
        <f>VLOOKUP(A3,Grupy!B:G,6,0)</f>
        <v>Zuzanna Kryś</v>
      </c>
      <c r="E3" s="22" t="s">
        <v>36</v>
      </c>
      <c r="F3" s="23">
        <f>VLOOKUP(E3,Platnosc!$B:$E,4,0)</f>
        <v>45181</v>
      </c>
      <c r="G3" s="13" t="s">
        <v>9</v>
      </c>
      <c r="H3" s="13"/>
      <c r="I3" s="13" t="s">
        <v>23</v>
      </c>
      <c r="J3" s="13" t="s">
        <v>13</v>
      </c>
      <c r="K3" s="13"/>
      <c r="L3" s="13" t="s">
        <v>13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5">
      <c r="A4" s="24" t="s">
        <v>32</v>
      </c>
      <c r="B4" s="25" t="str">
        <f>VLOOKUP(A4,Grupy!B:G,2,0)</f>
        <v>ZUZIA ŚREDNI</v>
      </c>
      <c r="C4" s="26">
        <f>VLOOKUP(A4,Grupy!B:G,4,0)</f>
        <v>0.82638888888888884</v>
      </c>
      <c r="D4" s="26" t="str">
        <f>VLOOKUP(A4,Grupy!B:G,6,0)</f>
        <v>Zuzanna Kryś</v>
      </c>
      <c r="E4" s="26" t="s">
        <v>37</v>
      </c>
      <c r="F4" s="27">
        <f>VLOOKUP(E4,Platnosc!$B:$E,4,0)</f>
        <v>45198</v>
      </c>
      <c r="G4" s="13" t="s">
        <v>9</v>
      </c>
      <c r="H4" s="13" t="s">
        <v>9</v>
      </c>
      <c r="I4" s="13" t="s">
        <v>23</v>
      </c>
      <c r="J4" s="13" t="s">
        <v>13</v>
      </c>
      <c r="K4" s="13"/>
      <c r="L4" s="13" t="s">
        <v>9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5">
      <c r="A5" s="20" t="s">
        <v>32</v>
      </c>
      <c r="B5" s="21" t="str">
        <f>VLOOKUP(A5,Grupy!B:G,2,0)</f>
        <v>ZUZIA ŚREDNI</v>
      </c>
      <c r="C5" s="22">
        <f>VLOOKUP(A5,Grupy!B:G,4,0)</f>
        <v>0.82638888888888884</v>
      </c>
      <c r="D5" s="22" t="str">
        <f>VLOOKUP(A5,Grupy!B:G,6,0)</f>
        <v>Zuzanna Kryś</v>
      </c>
      <c r="E5" s="22" t="s">
        <v>38</v>
      </c>
      <c r="F5" s="23">
        <f>VLOOKUP(E5,Platnosc!$B:$E,4,0)</f>
        <v>45202</v>
      </c>
      <c r="G5" s="13" t="s">
        <v>13</v>
      </c>
      <c r="H5" s="13" t="s">
        <v>13</v>
      </c>
      <c r="I5" s="13" t="s">
        <v>23</v>
      </c>
      <c r="J5" s="13" t="s">
        <v>13</v>
      </c>
      <c r="K5" s="13" t="s">
        <v>13</v>
      </c>
      <c r="L5" s="13" t="s">
        <v>9</v>
      </c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5">
      <c r="A6" s="24" t="s">
        <v>32</v>
      </c>
      <c r="B6" s="25" t="str">
        <f>VLOOKUP(A6,Grupy!B:G,2,0)</f>
        <v>ZUZIA ŚREDNI</v>
      </c>
      <c r="C6" s="26">
        <f>VLOOKUP(A6,Grupy!B:G,4,0)</f>
        <v>0.82638888888888884</v>
      </c>
      <c r="D6" s="26" t="str">
        <f>VLOOKUP(A6,Grupy!B:G,6,0)</f>
        <v>Zuzanna Kryś</v>
      </c>
      <c r="E6" s="26" t="s">
        <v>39</v>
      </c>
      <c r="F6" s="27">
        <f>VLOOKUP(E6,Platnosc!$B:$E,4,0)</f>
        <v>45195</v>
      </c>
      <c r="G6" s="13" t="s">
        <v>13</v>
      </c>
      <c r="H6" s="13" t="s">
        <v>13</v>
      </c>
      <c r="I6" s="13" t="s">
        <v>23</v>
      </c>
      <c r="J6" s="13" t="s">
        <v>13</v>
      </c>
      <c r="K6" s="13" t="s">
        <v>13</v>
      </c>
      <c r="L6" s="13" t="s">
        <v>9</v>
      </c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5">
      <c r="A7" s="20" t="s">
        <v>32</v>
      </c>
      <c r="B7" s="21" t="str">
        <f>VLOOKUP(A7,Grupy!B:G,2,0)</f>
        <v>ZUZIA ŚREDNI</v>
      </c>
      <c r="C7" s="22">
        <f>VLOOKUP(A7,Grupy!B:G,4,0)</f>
        <v>0.82638888888888884</v>
      </c>
      <c r="D7" s="22" t="str">
        <f>VLOOKUP(A7,Grupy!B:G,6,0)</f>
        <v>Zuzanna Kryś</v>
      </c>
      <c r="E7" s="22"/>
      <c r="F7" s="23" t="e">
        <f>VLOOKUP(E7,Platnosc!$B:$E,4,0)</f>
        <v>#N/A</v>
      </c>
      <c r="G7" s="13" t="s">
        <v>13</v>
      </c>
      <c r="H7" s="13" t="s">
        <v>13</v>
      </c>
      <c r="I7" s="13" t="s">
        <v>23</v>
      </c>
      <c r="J7" s="13" t="s">
        <v>9</v>
      </c>
      <c r="K7" s="13" t="s">
        <v>41</v>
      </c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5">
      <c r="A8" s="24" t="s">
        <v>32</v>
      </c>
      <c r="B8" s="25" t="str">
        <f>VLOOKUP(A8,Grupy!B:G,2,0)</f>
        <v>ZUZIA ŚREDNI</v>
      </c>
      <c r="C8" s="26">
        <f>VLOOKUP(A8,Grupy!B:G,4,0)</f>
        <v>0.82638888888888884</v>
      </c>
      <c r="D8" s="26" t="str">
        <f>VLOOKUP(A8,Grupy!B:G,6,0)</f>
        <v>Zuzanna Kryś</v>
      </c>
      <c r="E8" s="26"/>
      <c r="F8" s="27" t="e">
        <f>VLOOKUP(E8,Platnosc!$B:$E,4,0)</f>
        <v>#N/A</v>
      </c>
      <c r="G8" s="13" t="s">
        <v>9</v>
      </c>
      <c r="H8" s="13" t="s">
        <v>9</v>
      </c>
      <c r="I8" s="13" t="s">
        <v>23</v>
      </c>
      <c r="J8" s="13" t="s">
        <v>9</v>
      </c>
      <c r="K8" s="13" t="s">
        <v>9</v>
      </c>
      <c r="L8" s="13" t="s">
        <v>35</v>
      </c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A9" s="20" t="s">
        <v>42</v>
      </c>
      <c r="B9" s="21" t="str">
        <f>VLOOKUP(A9,Grupy!B:G,2,0)</f>
        <v>ZUZIA PODSTAWA +</v>
      </c>
      <c r="C9" s="22">
        <f>VLOOKUP(A9,Grupy!B:G,4,0)</f>
        <v>0.875</v>
      </c>
      <c r="D9" s="22" t="str">
        <f>VLOOKUP(A9,Grupy!B:G,6,0)</f>
        <v>Zuzanna Kryś</v>
      </c>
      <c r="E9" s="22" t="s">
        <v>43</v>
      </c>
      <c r="F9" s="23">
        <f>VLOOKUP(E9,Platnosc!$B:$E,4,0)</f>
        <v>45195</v>
      </c>
      <c r="G9" s="13" t="s">
        <v>13</v>
      </c>
      <c r="H9" s="13" t="s">
        <v>13</v>
      </c>
      <c r="I9" s="13" t="s">
        <v>23</v>
      </c>
      <c r="J9" s="13" t="s">
        <v>13</v>
      </c>
      <c r="K9" s="13" t="s">
        <v>13</v>
      </c>
      <c r="L9" s="13" t="s">
        <v>13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A10" s="24" t="s">
        <v>42</v>
      </c>
      <c r="B10" s="25" t="str">
        <f>VLOOKUP(A10,Grupy!B:G,2,0)</f>
        <v>ZUZIA PODSTAWA +</v>
      </c>
      <c r="C10" s="26">
        <f>VLOOKUP(A10,Grupy!B:G,4,0)</f>
        <v>0.875</v>
      </c>
      <c r="D10" s="26" t="str">
        <f>VLOOKUP(A10,Grupy!B:G,6,0)</f>
        <v>Zuzanna Kryś</v>
      </c>
      <c r="E10" s="26" t="s">
        <v>31</v>
      </c>
      <c r="F10" s="27">
        <f>VLOOKUP(E10,Platnosc!$B:$E,4,0)</f>
        <v>45195</v>
      </c>
      <c r="G10" s="13" t="s">
        <v>9</v>
      </c>
      <c r="H10" s="13" t="s">
        <v>9</v>
      </c>
      <c r="I10" s="13" t="s">
        <v>23</v>
      </c>
      <c r="J10" s="13" t="s">
        <v>9</v>
      </c>
      <c r="K10" s="13" t="s">
        <v>9</v>
      </c>
      <c r="L10" s="13" t="s">
        <v>9</v>
      </c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A11" s="20" t="s">
        <v>42</v>
      </c>
      <c r="B11" s="21" t="str">
        <f>VLOOKUP(A11,Grupy!B:G,2,0)</f>
        <v>ZUZIA PODSTAWA +</v>
      </c>
      <c r="C11" s="22">
        <f>VLOOKUP(A11,Grupy!B:G,4,0)</f>
        <v>0.875</v>
      </c>
      <c r="D11" s="22" t="str">
        <f>VLOOKUP(A11,Grupy!B:G,6,0)</f>
        <v>Zuzanna Kryś</v>
      </c>
      <c r="E11" s="22" t="s">
        <v>44</v>
      </c>
      <c r="F11" s="23">
        <f>VLOOKUP(E11,Platnosc!$B:$E,4,0)</f>
        <v>45195</v>
      </c>
      <c r="G11" s="13" t="s">
        <v>13</v>
      </c>
      <c r="H11" s="13" t="s">
        <v>9</v>
      </c>
      <c r="I11" s="13" t="s">
        <v>23</v>
      </c>
      <c r="J11" s="13" t="s">
        <v>13</v>
      </c>
      <c r="K11" s="13" t="s">
        <v>40</v>
      </c>
      <c r="L11" s="13" t="s">
        <v>9</v>
      </c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A12" s="24" t="s">
        <v>42</v>
      </c>
      <c r="B12" s="25" t="str">
        <f>VLOOKUP(A12,Grupy!B:G,2,0)</f>
        <v>ZUZIA PODSTAWA +</v>
      </c>
      <c r="C12" s="26">
        <f>VLOOKUP(A12,Grupy!B:G,4,0)</f>
        <v>0.875</v>
      </c>
      <c r="D12" s="26" t="str">
        <f>VLOOKUP(A12,Grupy!B:G,6,0)</f>
        <v>Zuzanna Kryś</v>
      </c>
      <c r="E12" s="26" t="s">
        <v>45</v>
      </c>
      <c r="F12" s="27">
        <f>VLOOKUP(E12,Platnosc!$B:$E,4,0)</f>
        <v>0</v>
      </c>
      <c r="G12" s="13" t="s">
        <v>40</v>
      </c>
      <c r="H12" s="13" t="s">
        <v>46</v>
      </c>
      <c r="I12" s="13"/>
      <c r="J12" s="13"/>
      <c r="K12" s="13" t="s">
        <v>9</v>
      </c>
      <c r="L12" s="13" t="s">
        <v>9</v>
      </c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A13" s="20" t="s">
        <v>42</v>
      </c>
      <c r="B13" s="21" t="str">
        <f>VLOOKUP(A13,Grupy!B:G,2,0)</f>
        <v>ZUZIA PODSTAWA +</v>
      </c>
      <c r="C13" s="22">
        <f>VLOOKUP(A13,Grupy!B:G,4,0)</f>
        <v>0.875</v>
      </c>
      <c r="D13" s="22" t="str">
        <f>VLOOKUP(A13,Grupy!B:G,6,0)</f>
        <v>Zuzanna Kryś</v>
      </c>
      <c r="E13" s="22" t="s">
        <v>47</v>
      </c>
      <c r="F13" s="23">
        <f>VLOOKUP(E13,Platnosc!$B:$E,4,0)</f>
        <v>45167</v>
      </c>
      <c r="G13" s="13"/>
      <c r="H13" s="13" t="s">
        <v>48</v>
      </c>
      <c r="I13" s="13"/>
      <c r="J13" s="13"/>
      <c r="K13" s="13"/>
      <c r="L13" s="13" t="s">
        <v>9</v>
      </c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A14" s="24" t="s">
        <v>42</v>
      </c>
      <c r="B14" s="25" t="str">
        <f>VLOOKUP(A14,Grupy!B:G,2,0)</f>
        <v>ZUZIA PODSTAWA +</v>
      </c>
      <c r="C14" s="26">
        <f>VLOOKUP(A14,Grupy!B:G,4,0)</f>
        <v>0.875</v>
      </c>
      <c r="D14" s="26" t="str">
        <f>VLOOKUP(A14,Grupy!B:G,6,0)</f>
        <v>Zuzanna Kryś</v>
      </c>
      <c r="E14" s="26" t="s">
        <v>245</v>
      </c>
      <c r="F14" s="27">
        <f>VLOOKUP(E14,Platnosc!$B:$E,4,0)</f>
        <v>45195</v>
      </c>
      <c r="G14" s="13"/>
      <c r="H14" s="13"/>
      <c r="I14" s="13"/>
      <c r="J14" s="13"/>
      <c r="K14" s="13"/>
      <c r="L14" s="13" t="s">
        <v>9</v>
      </c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A15" s="20" t="s">
        <v>42</v>
      </c>
      <c r="B15" s="21" t="str">
        <f>VLOOKUP(A15,Grupy!B:G,2,0)</f>
        <v>ZUZIA PODSTAWA +</v>
      </c>
      <c r="C15" s="22">
        <f>VLOOKUP(A15,Grupy!B:G,4,0)</f>
        <v>0.875</v>
      </c>
      <c r="D15" s="22" t="str">
        <f>VLOOKUP(A15,Grupy!B:G,6,0)</f>
        <v>Zuzanna Kryś</v>
      </c>
      <c r="E15" s="22"/>
      <c r="F15" s="23" t="e">
        <f>VLOOKUP(E15,Platnosc!$B:$E,4,0)</f>
        <v>#N/A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A16" s="24"/>
      <c r="B16" s="25" t="e">
        <f>VLOOKUP(A16,Grupy!B:G,2,0)</f>
        <v>#N/A</v>
      </c>
      <c r="C16" s="26" t="e">
        <f>VLOOKUP(A16,Grupy!B:G,4,0)</f>
        <v>#N/A</v>
      </c>
      <c r="D16" s="26" t="e">
        <f>VLOOKUP(A16,Grupy!B:G,6,0)</f>
        <v>#N/A</v>
      </c>
      <c r="E16" s="26"/>
      <c r="F16" s="27" t="e">
        <f>VLOOKUP(E16,Platnosc!$B:$E,4,0)</f>
        <v>#N/A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5">
      <c r="A17" s="20"/>
      <c r="B17" s="21" t="e">
        <f>VLOOKUP(A17,Grupy!B:G,2,0)</f>
        <v>#N/A</v>
      </c>
      <c r="C17" s="22" t="e">
        <f>VLOOKUP(A17,Grupy!B:G,4,0)</f>
        <v>#N/A</v>
      </c>
      <c r="D17" s="22" t="e">
        <f>VLOOKUP(A17,Grupy!B:G,6,0)</f>
        <v>#N/A</v>
      </c>
      <c r="E17" s="22"/>
      <c r="F17" s="23" t="e">
        <f>VLOOKUP(E17,Platnosc!$B:$E,4,0)</f>
        <v>#N/A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5">
      <c r="A18" s="24"/>
      <c r="B18" s="25" t="e">
        <f>VLOOKUP(A18,Grupy!B:G,2,0)</f>
        <v>#N/A</v>
      </c>
      <c r="C18" s="26" t="e">
        <f>VLOOKUP(A18,Grupy!B:G,4,0)</f>
        <v>#N/A</v>
      </c>
      <c r="D18" s="26" t="e">
        <f>VLOOKUP(A18,Grupy!B:G,6,0)</f>
        <v>#N/A</v>
      </c>
      <c r="E18" s="26"/>
      <c r="F18" s="27" t="e">
        <f>VLOOKUP(E18,Platnosc!$B:$E,4,0)</f>
        <v>#N/A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5">
      <c r="A19" s="20"/>
      <c r="B19" s="21" t="e">
        <f>VLOOKUP(A19,Grupy!B:G,2,0)</f>
        <v>#N/A</v>
      </c>
      <c r="C19" s="22" t="e">
        <f>VLOOKUP(A19,Grupy!B:G,4,0)</f>
        <v>#N/A</v>
      </c>
      <c r="D19" s="22" t="e">
        <f>VLOOKUP(A19,Grupy!B:G,6,0)</f>
        <v>#N/A</v>
      </c>
      <c r="E19" s="22"/>
      <c r="F19" s="23" t="e">
        <f>VLOOKUP(E19,Platnosc!$B:$E,4,0)</f>
        <v>#N/A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5">
      <c r="A20" s="24"/>
      <c r="B20" s="25" t="e">
        <f>VLOOKUP(A20,Grupy!B:G,2,0)</f>
        <v>#N/A</v>
      </c>
      <c r="C20" s="26" t="e">
        <f>VLOOKUP(A20,Grupy!B:G,4,0)</f>
        <v>#N/A</v>
      </c>
      <c r="D20" s="26" t="e">
        <f>VLOOKUP(A20,Grupy!B:G,6,0)</f>
        <v>#N/A</v>
      </c>
      <c r="E20" s="26"/>
      <c r="F20" s="27" t="e">
        <f>VLOOKUP(E20,Platnosc!$B:$E,4,0)</f>
        <v>#N/A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5">
      <c r="A21" s="20"/>
      <c r="B21" s="21" t="e">
        <f>VLOOKUP(A21,Grupy!B:G,2,0)</f>
        <v>#N/A</v>
      </c>
      <c r="C21" s="22" t="e">
        <f>VLOOKUP(A21,Grupy!B:G,4,0)</f>
        <v>#N/A</v>
      </c>
      <c r="D21" s="22" t="e">
        <f>VLOOKUP(A21,Grupy!B:G,6,0)</f>
        <v>#N/A</v>
      </c>
      <c r="E21" s="22"/>
      <c r="F21" s="23" t="e">
        <f>VLOOKUP(E21,Platnosc!$B:$E,4,0)</f>
        <v>#N/A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5">
      <c r="A22" s="24"/>
      <c r="B22" s="25" t="e">
        <f>VLOOKUP(A22,Grupy!B:G,2,0)</f>
        <v>#N/A</v>
      </c>
      <c r="C22" s="26" t="e">
        <f>VLOOKUP(A22,Grupy!B:G,4,0)</f>
        <v>#N/A</v>
      </c>
      <c r="D22" s="26" t="e">
        <f>VLOOKUP(A22,Grupy!B:G,6,0)</f>
        <v>#N/A</v>
      </c>
      <c r="E22" s="26"/>
      <c r="F22" s="27" t="e">
        <f>VLOOKUP(E22,Platnosc!$B:$E,4,0)</f>
        <v>#N/A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5">
      <c r="A23" s="20"/>
      <c r="B23" s="21" t="e">
        <f>VLOOKUP(A23,Grupy!B:G,2,0)</f>
        <v>#N/A</v>
      </c>
      <c r="C23" s="22" t="e">
        <f>VLOOKUP(A23,Grupy!B:G,4,0)</f>
        <v>#N/A</v>
      </c>
      <c r="D23" s="22" t="e">
        <f>VLOOKUP(A23,Grupy!B:G,6,0)</f>
        <v>#N/A</v>
      </c>
      <c r="E23" s="22"/>
      <c r="F23" s="23" t="e">
        <f>VLOOKUP(E23,Platnosc!$B:$E,4,0)</f>
        <v>#N/A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5">
      <c r="A24" s="24"/>
      <c r="B24" s="25" t="e">
        <f>VLOOKUP(A24,Grupy!B:G,2,0)</f>
        <v>#N/A</v>
      </c>
      <c r="C24" s="26" t="e">
        <f>VLOOKUP(A24,Grupy!B:G,4,0)</f>
        <v>#N/A</v>
      </c>
      <c r="D24" s="26" t="e">
        <f>VLOOKUP(A24,Grupy!B:G,6,0)</f>
        <v>#N/A</v>
      </c>
      <c r="E24" s="26"/>
      <c r="F24" s="27" t="e">
        <f>VLOOKUP(E24,Platnosc!$B:$E,4,0)</f>
        <v>#N/A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5">
      <c r="A25" s="20"/>
      <c r="B25" s="21" t="e">
        <f>VLOOKUP(A25,Grupy!B:G,2,0)</f>
        <v>#N/A</v>
      </c>
      <c r="C25" s="22" t="e">
        <f>VLOOKUP(A25,Grupy!B:G,4,0)</f>
        <v>#N/A</v>
      </c>
      <c r="D25" s="22" t="e">
        <f>VLOOKUP(A25,Grupy!B:G,6,0)</f>
        <v>#N/A</v>
      </c>
      <c r="E25" s="22"/>
      <c r="F25" s="23" t="e">
        <f>VLOOKUP(E25,Platnosc!$B:$E,4,0)</f>
        <v>#N/A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5">
      <c r="A26" s="24"/>
      <c r="B26" s="25" t="e">
        <f>VLOOKUP(A26,Grupy!B:G,2,0)</f>
        <v>#N/A</v>
      </c>
      <c r="C26" s="26" t="e">
        <f>VLOOKUP(A26,Grupy!B:G,4,0)</f>
        <v>#N/A</v>
      </c>
      <c r="D26" s="26" t="e">
        <f>VLOOKUP(A26,Grupy!B:G,6,0)</f>
        <v>#N/A</v>
      </c>
      <c r="E26" s="26"/>
      <c r="F26" s="27" t="e">
        <f>VLOOKUP(E26,Platnosc!$B:$E,4,0)</f>
        <v>#N/A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5">
      <c r="A27" s="20"/>
      <c r="B27" s="21" t="e">
        <f>VLOOKUP(A27,Grupy!B:G,2,0)</f>
        <v>#N/A</v>
      </c>
      <c r="C27" s="22" t="e">
        <f>VLOOKUP(A27,Grupy!B:G,4,0)</f>
        <v>#N/A</v>
      </c>
      <c r="D27" s="22" t="e">
        <f>VLOOKUP(A27,Grupy!B:G,6,0)</f>
        <v>#N/A</v>
      </c>
      <c r="E27" s="22"/>
      <c r="F27" s="23" t="e">
        <f>VLOOKUP(E27,Platnosc!$B:$E,4,0)</f>
        <v>#N/A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5">
      <c r="A28" s="25"/>
      <c r="B28" s="25" t="e">
        <f>VLOOKUP(A28,Grupy!B:G,2,0)</f>
        <v>#N/A</v>
      </c>
      <c r="C28" s="26" t="e">
        <f>VLOOKUP(A28,Grupy!B:G,4,0)</f>
        <v>#N/A</v>
      </c>
      <c r="D28" s="26" t="e">
        <f>VLOOKUP(A28,Grupy!B:G,6,0)</f>
        <v>#N/A</v>
      </c>
      <c r="E28" s="24"/>
      <c r="F28" s="27" t="e">
        <f>VLOOKUP(E28,Platnosc!$B:$E,4,0)</f>
        <v>#N/A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5">
      <c r="A29" s="20"/>
      <c r="B29" s="21" t="e">
        <f>VLOOKUP(A29,Grupy!B:G,2,0)</f>
        <v>#N/A</v>
      </c>
      <c r="C29" s="22" t="e">
        <f>VLOOKUP(A29,Grupy!B:G,4,0)</f>
        <v>#N/A</v>
      </c>
      <c r="D29" s="22" t="e">
        <f>VLOOKUP(A29,Grupy!B:G,6,0)</f>
        <v>#N/A</v>
      </c>
      <c r="E29" s="20"/>
      <c r="F29" s="23" t="e">
        <f>VLOOKUP(E29,Platnosc!$B:$E,4,0)</f>
        <v>#N/A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5">
      <c r="A30" s="24"/>
      <c r="B30" s="25" t="e">
        <f>VLOOKUP(A30,Grupy!B:G,2,0)</f>
        <v>#N/A</v>
      </c>
      <c r="C30" s="26" t="e">
        <f>VLOOKUP(A30,Grupy!B:G,4,0)</f>
        <v>#N/A</v>
      </c>
      <c r="D30" s="26" t="e">
        <f>VLOOKUP(A30,Grupy!B:G,6,0)</f>
        <v>#N/A</v>
      </c>
      <c r="E30" s="24"/>
      <c r="F30" s="27" t="e">
        <f>VLOOKUP(E30,Platnosc!$B:$E,4,0)</f>
        <v>#N/A</v>
      </c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5">
      <c r="A31" s="20"/>
      <c r="B31" s="21" t="e">
        <f>VLOOKUP(A31,Grupy!B:G,2,0)</f>
        <v>#N/A</v>
      </c>
      <c r="C31" s="22" t="e">
        <f>VLOOKUP(A31,Grupy!B:G,4,0)</f>
        <v>#N/A</v>
      </c>
      <c r="D31" s="22" t="e">
        <f>VLOOKUP(A31,Grupy!B:G,6,0)</f>
        <v>#N/A</v>
      </c>
      <c r="E31" s="20"/>
      <c r="F31" s="23" t="e">
        <f>VLOOKUP(E31,Platnosc!$B:$E,4,0)</f>
        <v>#N/A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5">
      <c r="A32" s="24"/>
      <c r="B32" s="25" t="e">
        <f>VLOOKUP(A32,Grupy!B:G,2,0)</f>
        <v>#N/A</v>
      </c>
      <c r="C32" s="26" t="e">
        <f>VLOOKUP(A32,Grupy!B:G,4,0)</f>
        <v>#N/A</v>
      </c>
      <c r="D32" s="26" t="e">
        <f>VLOOKUP(A32,Grupy!B:G,6,0)</f>
        <v>#N/A</v>
      </c>
      <c r="E32" s="24"/>
      <c r="F32" s="27" t="e">
        <f>VLOOKUP(E32,Platnosc!$B:$E,4,0)</f>
        <v>#N/A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20"/>
      <c r="B33" s="21" t="e">
        <f>VLOOKUP(A33,Grupy!B:G,2,0)</f>
        <v>#N/A</v>
      </c>
      <c r="C33" s="22" t="e">
        <f>VLOOKUP(A33,Grupy!B:G,4,0)</f>
        <v>#N/A</v>
      </c>
      <c r="D33" s="22" t="e">
        <f>VLOOKUP(A33,Grupy!B:G,6,0)</f>
        <v>#N/A</v>
      </c>
      <c r="E33" s="20"/>
      <c r="F33" s="23" t="e">
        <f>VLOOKUP(E33,Platnosc!$B:$E,4,0)</f>
        <v>#N/A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24"/>
      <c r="B34" s="25" t="e">
        <f>VLOOKUP(A34,Grupy!B:G,2,0)</f>
        <v>#N/A</v>
      </c>
      <c r="C34" s="26" t="e">
        <f>VLOOKUP(A34,Grupy!B:G,4,0)</f>
        <v>#N/A</v>
      </c>
      <c r="D34" s="26" t="e">
        <f>VLOOKUP(A34,Grupy!B:G,6,0)</f>
        <v>#N/A</v>
      </c>
      <c r="E34" s="24"/>
      <c r="F34" s="27" t="e">
        <f>VLOOKUP(E34,Platnosc!$B:$E,4,0)</f>
        <v>#N/A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20"/>
      <c r="B35" s="21" t="e">
        <f>VLOOKUP(A35,Grupy!B:G,2,0)</f>
        <v>#N/A</v>
      </c>
      <c r="C35" s="22" t="e">
        <f>VLOOKUP(A35,Grupy!B:G,4,0)</f>
        <v>#N/A</v>
      </c>
      <c r="D35" s="22" t="e">
        <f>VLOOKUP(A35,Grupy!B:G,6,0)</f>
        <v>#N/A</v>
      </c>
      <c r="E35" s="20"/>
      <c r="F35" s="23" t="e">
        <f>VLOOKUP(E35,Platnosc!$B:$E,4,0)</f>
        <v>#N/A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24"/>
      <c r="B36" s="25" t="e">
        <f>VLOOKUP(A36,Grupy!B:G,2,0)</f>
        <v>#N/A</v>
      </c>
      <c r="C36" s="26" t="e">
        <f>VLOOKUP(A36,Grupy!B:G,4,0)</f>
        <v>#N/A</v>
      </c>
      <c r="D36" s="26" t="e">
        <f>VLOOKUP(A36,Grupy!B:G,6,0)</f>
        <v>#N/A</v>
      </c>
      <c r="E36" s="24"/>
      <c r="F36" s="27" t="e">
        <f>VLOOKUP(E36,Platnosc!$B:$E,4,0)</f>
        <v>#N/A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20"/>
      <c r="B37" s="21" t="e">
        <f>VLOOKUP(A37,Grupy!B:G,2,0)</f>
        <v>#N/A</v>
      </c>
      <c r="C37" s="22" t="e">
        <f>VLOOKUP(A37,Grupy!B:G,4,0)</f>
        <v>#N/A</v>
      </c>
      <c r="D37" s="22" t="e">
        <f>VLOOKUP(A37,Grupy!B:G,6,0)</f>
        <v>#N/A</v>
      </c>
      <c r="E37" s="20"/>
      <c r="F37" s="23" t="e">
        <f>VLOOKUP(E37,Platnosc!$B:$E,4,0)</f>
        <v>#N/A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24"/>
      <c r="B38" s="25" t="e">
        <f>VLOOKUP(A38,Grupy!B:G,2,0)</f>
        <v>#N/A</v>
      </c>
      <c r="C38" s="26" t="e">
        <f>VLOOKUP(A38,Grupy!B:G,4,0)</f>
        <v>#N/A</v>
      </c>
      <c r="D38" s="26" t="e">
        <f>VLOOKUP(A38,Grupy!B:G,6,0)</f>
        <v>#N/A</v>
      </c>
      <c r="E38" s="24"/>
      <c r="F38" s="27" t="e">
        <f>VLOOKUP(E38,Platnosc!$B:$E,4,0)</f>
        <v>#N/A</v>
      </c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20"/>
      <c r="B39" s="21" t="e">
        <f>VLOOKUP(A39,Grupy!B:G,2,0)</f>
        <v>#N/A</v>
      </c>
      <c r="C39" s="22" t="e">
        <f>VLOOKUP(A39,Grupy!B:G,4,0)</f>
        <v>#N/A</v>
      </c>
      <c r="D39" s="22" t="e">
        <f>VLOOKUP(A39,Grupy!B:G,6,0)</f>
        <v>#N/A</v>
      </c>
      <c r="E39" s="20"/>
      <c r="F39" s="23" t="e">
        <f>VLOOKUP(E39,Platnosc!$B:$E,4,0)</f>
        <v>#N/A</v>
      </c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24"/>
      <c r="B40" s="25" t="e">
        <f>VLOOKUP(A40,Grupy!B:G,2,0)</f>
        <v>#N/A</v>
      </c>
      <c r="C40" s="26" t="e">
        <f>VLOOKUP(A40,Grupy!B:G,4,0)</f>
        <v>#N/A</v>
      </c>
      <c r="D40" s="26" t="e">
        <f>VLOOKUP(A40,Grupy!B:G,6,0)</f>
        <v>#N/A</v>
      </c>
      <c r="E40" s="24"/>
      <c r="F40" s="27" t="e">
        <f>VLOOKUP(E40,Platnosc!$B:$E,4,0)</f>
        <v>#N/A</v>
      </c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20"/>
      <c r="B41" s="21" t="e">
        <f>VLOOKUP(A41,Grupy!B:G,2,0)</f>
        <v>#N/A</v>
      </c>
      <c r="C41" s="22" t="e">
        <f>VLOOKUP(A41,Grupy!B:G,4,0)</f>
        <v>#N/A</v>
      </c>
      <c r="D41" s="22" t="e">
        <f>VLOOKUP(A41,Grupy!B:G,6,0)</f>
        <v>#N/A</v>
      </c>
      <c r="E41" s="20"/>
      <c r="F41" s="23" t="e">
        <f>VLOOKUP(E41,Platnosc!$B:$E,4,0)</f>
        <v>#N/A</v>
      </c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24"/>
      <c r="B42" s="25" t="e">
        <f>VLOOKUP(A42,Grupy!B:G,2,0)</f>
        <v>#N/A</v>
      </c>
      <c r="C42" s="26" t="e">
        <f>VLOOKUP(A42,Grupy!B:G,4,0)</f>
        <v>#N/A</v>
      </c>
      <c r="D42" s="26" t="e">
        <f>VLOOKUP(A42,Grupy!B:G,6,0)</f>
        <v>#N/A</v>
      </c>
      <c r="E42" s="24"/>
      <c r="F42" s="27" t="e">
        <f>VLOOKUP(E42,Platnosc!$B:$E,4,0)</f>
        <v>#N/A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20"/>
      <c r="B43" s="21" t="e">
        <f>VLOOKUP(A43,Grupy!B:G,2,0)</f>
        <v>#N/A</v>
      </c>
      <c r="C43" s="22" t="e">
        <f>VLOOKUP(A43,Grupy!B:G,4,0)</f>
        <v>#N/A</v>
      </c>
      <c r="D43" s="22" t="e">
        <f>VLOOKUP(A43,Grupy!B:G,6,0)</f>
        <v>#N/A</v>
      </c>
      <c r="E43" s="20"/>
      <c r="F43" s="23" t="e">
        <f>VLOOKUP(E43,Platnosc!$B:$E,4,0)</f>
        <v>#N/A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24"/>
      <c r="B44" s="25" t="e">
        <f>VLOOKUP(A44,Grupy!B:G,2,0)</f>
        <v>#N/A</v>
      </c>
      <c r="C44" s="26" t="e">
        <f>VLOOKUP(A44,Grupy!B:G,4,0)</f>
        <v>#N/A</v>
      </c>
      <c r="D44" s="26" t="e">
        <f>VLOOKUP(A44,Grupy!B:G,6,0)</f>
        <v>#N/A</v>
      </c>
      <c r="E44" s="24"/>
      <c r="F44" s="27" t="e">
        <f>VLOOKUP(E44,Platnosc!$B:$E,4,0)</f>
        <v>#N/A</v>
      </c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20"/>
      <c r="B45" s="21" t="e">
        <f>VLOOKUP(A45,Grupy!B:G,2,0)</f>
        <v>#N/A</v>
      </c>
      <c r="C45" s="22" t="e">
        <f>VLOOKUP(A45,Grupy!B:G,4,0)</f>
        <v>#N/A</v>
      </c>
      <c r="D45" s="22" t="e">
        <f>VLOOKUP(A45,Grupy!B:G,6,0)</f>
        <v>#N/A</v>
      </c>
      <c r="E45" s="20"/>
      <c r="F45" s="23" t="e">
        <f>VLOOKUP(E45,Platnosc!$B:$E,4,0)</f>
        <v>#N/A</v>
      </c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24"/>
      <c r="B46" s="25" t="e">
        <f>VLOOKUP(A46,Grupy!B:G,2,0)</f>
        <v>#N/A</v>
      </c>
      <c r="C46" s="26" t="e">
        <f>VLOOKUP(A46,Grupy!B:G,4,0)</f>
        <v>#N/A</v>
      </c>
      <c r="D46" s="26" t="e">
        <f>VLOOKUP(A46,Grupy!B:G,6,0)</f>
        <v>#N/A</v>
      </c>
      <c r="E46" s="24"/>
      <c r="F46" s="27" t="e">
        <f>VLOOKUP(E46,Platnosc!$B:$E,4,0)</f>
        <v>#N/A</v>
      </c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20"/>
      <c r="B47" s="21" t="e">
        <f>VLOOKUP(A47,Grupy!B:G,2,0)</f>
        <v>#N/A</v>
      </c>
      <c r="C47" s="22" t="e">
        <f>VLOOKUP(A47,Grupy!B:G,4,0)</f>
        <v>#N/A</v>
      </c>
      <c r="D47" s="22" t="e">
        <f>VLOOKUP(A47,Grupy!B:G,6,0)</f>
        <v>#N/A</v>
      </c>
      <c r="E47" s="20"/>
      <c r="F47" s="23" t="e">
        <f>VLOOKUP(E47,Platnosc!$B:$E,4,0)</f>
        <v>#N/A</v>
      </c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24"/>
      <c r="B48" s="25" t="e">
        <f>VLOOKUP(A48,Grupy!B:G,2,0)</f>
        <v>#N/A</v>
      </c>
      <c r="C48" s="26" t="e">
        <f>VLOOKUP(A48,Grupy!B:G,4,0)</f>
        <v>#N/A</v>
      </c>
      <c r="D48" s="26" t="e">
        <f>VLOOKUP(A48,Grupy!B:G,6,0)</f>
        <v>#N/A</v>
      </c>
      <c r="E48" s="24"/>
      <c r="F48" s="27" t="e">
        <f>VLOOKUP(E48,Platnosc!$B:$E,4,0)</f>
        <v>#N/A</v>
      </c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20"/>
      <c r="B49" s="21" t="e">
        <f>VLOOKUP(A49,Grupy!B:G,2,0)</f>
        <v>#N/A</v>
      </c>
      <c r="C49" s="22" t="e">
        <f>VLOOKUP(A49,Grupy!B:G,4,0)</f>
        <v>#N/A</v>
      </c>
      <c r="D49" s="22" t="e">
        <f>VLOOKUP(A49,Grupy!B:G,6,0)</f>
        <v>#N/A</v>
      </c>
      <c r="E49" s="20"/>
      <c r="F49" s="23" t="e">
        <f>VLOOKUP(E49,Platnosc!$B:$E,4,0)</f>
        <v>#N/A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24"/>
      <c r="B50" s="25" t="e">
        <f>VLOOKUP(A50,Grupy!B:G,2,0)</f>
        <v>#N/A</v>
      </c>
      <c r="C50" s="26" t="e">
        <f>VLOOKUP(A50,Grupy!B:G,4,0)</f>
        <v>#N/A</v>
      </c>
      <c r="D50" s="26" t="e">
        <f>VLOOKUP(A50,Grupy!B:G,6,0)</f>
        <v>#N/A</v>
      </c>
      <c r="E50" s="24"/>
      <c r="F50" s="27" t="e">
        <f>VLOOKUP(E50,Platnosc!$B:$E,4,0)</f>
        <v>#N/A</v>
      </c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20"/>
      <c r="B51" s="21" t="e">
        <f>VLOOKUP(A51,Grupy!B:G,2,0)</f>
        <v>#N/A</v>
      </c>
      <c r="C51" s="22" t="e">
        <f>VLOOKUP(A51,Grupy!B:G,4,0)</f>
        <v>#N/A</v>
      </c>
      <c r="D51" s="22" t="e">
        <f>VLOOKUP(A51,Grupy!B:G,6,0)</f>
        <v>#N/A</v>
      </c>
      <c r="E51" s="20"/>
      <c r="F51" s="23" t="e">
        <f>VLOOKUP(E51,Platnosc!$B:$E,4,0)</f>
        <v>#N/A</v>
      </c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5">
      <c r="A52" s="24"/>
      <c r="B52" s="25" t="e">
        <f>VLOOKUP(A52,Grupy!B:G,2,0)</f>
        <v>#N/A</v>
      </c>
      <c r="C52" s="26" t="e">
        <f>VLOOKUP(A52,Grupy!B:G,4,0)</f>
        <v>#N/A</v>
      </c>
      <c r="D52" s="26" t="e">
        <f>VLOOKUP(A52,Grupy!B:G,6,0)</f>
        <v>#N/A</v>
      </c>
      <c r="E52" s="24"/>
      <c r="F52" s="27" t="e">
        <f>VLOOKUP(E52,Platnosc!$B:$E,4,0)</f>
        <v>#N/A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5">
      <c r="A53" s="20"/>
      <c r="B53" s="21" t="e">
        <f>VLOOKUP(A53,Grupy!B:G,2,0)</f>
        <v>#N/A</v>
      </c>
      <c r="C53" s="22" t="e">
        <f>VLOOKUP(A53,Grupy!B:G,4,0)</f>
        <v>#N/A</v>
      </c>
      <c r="D53" s="22" t="e">
        <f>VLOOKUP(A53,Grupy!B:G,6,0)</f>
        <v>#N/A</v>
      </c>
      <c r="E53" s="20"/>
      <c r="F53" s="23" t="e">
        <f>VLOOKUP(E53,Platnosc!$B:$E,4,0)</f>
        <v>#N/A</v>
      </c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5">
      <c r="A54" s="24"/>
      <c r="B54" s="25" t="e">
        <f>VLOOKUP(A54,Grupy!B:G,2,0)</f>
        <v>#N/A</v>
      </c>
      <c r="C54" s="26" t="e">
        <f>VLOOKUP(A54,Grupy!B:G,4,0)</f>
        <v>#N/A</v>
      </c>
      <c r="D54" s="26" t="e">
        <f>VLOOKUP(A54,Grupy!B:G,6,0)</f>
        <v>#N/A</v>
      </c>
      <c r="E54" s="24"/>
      <c r="F54" s="27" t="e">
        <f>VLOOKUP(E54,Platnosc!$B:$E,4,0)</f>
        <v>#N/A</v>
      </c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5">
      <c r="A55" s="20"/>
      <c r="B55" s="21" t="e">
        <f>VLOOKUP(A55,Grupy!B:G,2,0)</f>
        <v>#N/A</v>
      </c>
      <c r="C55" s="22" t="e">
        <f>VLOOKUP(A55,Grupy!B:G,4,0)</f>
        <v>#N/A</v>
      </c>
      <c r="D55" s="22" t="e">
        <f>VLOOKUP(A55,Grupy!B:G,6,0)</f>
        <v>#N/A</v>
      </c>
      <c r="E55" s="20"/>
      <c r="F55" s="23" t="e">
        <f>VLOOKUP(E55,Platnosc!$B:$E,4,0)</f>
        <v>#N/A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5">
      <c r="A56" s="24"/>
      <c r="B56" s="25" t="e">
        <f>VLOOKUP(A56,Grupy!B:G,2,0)</f>
        <v>#N/A</v>
      </c>
      <c r="C56" s="26" t="e">
        <f>VLOOKUP(A56,Grupy!B:G,4,0)</f>
        <v>#N/A</v>
      </c>
      <c r="D56" s="26" t="e">
        <f>VLOOKUP(A56,Grupy!B:G,6,0)</f>
        <v>#N/A</v>
      </c>
      <c r="E56" s="24"/>
      <c r="F56" s="27" t="e">
        <f>VLOOKUP(E56,Platnosc!$B:$E,4,0)</f>
        <v>#N/A</v>
      </c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5">
      <c r="A57" s="20"/>
      <c r="B57" s="21" t="e">
        <f>VLOOKUP(A57,Grupy!B:G,2,0)</f>
        <v>#N/A</v>
      </c>
      <c r="C57" s="22" t="e">
        <f>VLOOKUP(A57,Grupy!B:G,4,0)</f>
        <v>#N/A</v>
      </c>
      <c r="D57" s="22" t="e">
        <f>VLOOKUP(A57,Grupy!B:G,6,0)</f>
        <v>#N/A</v>
      </c>
      <c r="E57" s="20"/>
      <c r="F57" s="23" t="e">
        <f>VLOOKUP(E57,Platnosc!$B:$E,4,0)</f>
        <v>#N/A</v>
      </c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5">
      <c r="A58" s="24"/>
      <c r="B58" s="25" t="e">
        <f>VLOOKUP(A58,Grupy!B:G,2,0)</f>
        <v>#N/A</v>
      </c>
      <c r="C58" s="26" t="e">
        <f>VLOOKUP(A58,Grupy!B:G,4,0)</f>
        <v>#N/A</v>
      </c>
      <c r="D58" s="26" t="e">
        <f>VLOOKUP(A58,Grupy!B:G,6,0)</f>
        <v>#N/A</v>
      </c>
      <c r="E58" s="24"/>
      <c r="F58" s="27" t="e">
        <f>VLOOKUP(E58,Platnosc!$B:$E,4,0)</f>
        <v>#N/A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5">
      <c r="A59" s="20"/>
      <c r="B59" s="21" t="e">
        <f>VLOOKUP(A59,Grupy!B:G,2,0)</f>
        <v>#N/A</v>
      </c>
      <c r="C59" s="22" t="e">
        <f>VLOOKUP(A59,Grupy!B:G,4,0)</f>
        <v>#N/A</v>
      </c>
      <c r="D59" s="22" t="e">
        <f>VLOOKUP(A59,Grupy!B:G,6,0)</f>
        <v>#N/A</v>
      </c>
      <c r="E59" s="20"/>
      <c r="F59" s="23" t="e">
        <f>VLOOKUP(E59,Platnosc!$B:$E,4,0)</f>
        <v>#N/A</v>
      </c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5">
      <c r="A60" s="28"/>
      <c r="B60" s="29" t="e">
        <f>VLOOKUP(A60,Grupy!B:G,2,0)</f>
        <v>#N/A</v>
      </c>
      <c r="C60" s="30" t="e">
        <f>VLOOKUP(A60,Grupy!B:G,4,0)</f>
        <v>#N/A</v>
      </c>
      <c r="D60" s="30" t="e">
        <f>VLOOKUP(A60,Grupy!B:G,6,0)</f>
        <v>#N/A</v>
      </c>
      <c r="E60" s="28"/>
      <c r="F60" s="27" t="e">
        <f>VLOOKUP(E60,Platnosc!$B:$E,4,0)</f>
        <v>#N/A</v>
      </c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</sheetData>
  <protectedRanges>
    <protectedRange password="C0A5" sqref="A1:F1048576" name="Range1"/>
  </protectedRanges>
  <conditionalFormatting sqref="G2:Z60">
    <cfRule type="expression" dxfId="30" priority="5">
      <formula>IF($F2&gt;=G$1,TRUE,)</formula>
    </cfRule>
  </conditionalFormatting>
  <conditionalFormatting sqref="A2:E60">
    <cfRule type="containsErrors" dxfId="29" priority="4">
      <formula>ISERROR(A2)</formula>
    </cfRule>
  </conditionalFormatting>
  <conditionalFormatting sqref="F2:F60">
    <cfRule type="containsErrors" dxfId="28" priority="3">
      <formula>ISERROR(F2)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985EB2C-57B2-41A4-9EB3-6E2189996FD7}">
            <xm:f>IF($F2&lt;Platnosc!$I$1,TRUE,FALSE)</xm:f>
            <x14:dxf>
              <fill>
                <patternFill>
                  <bgColor rgb="FFFFC000"/>
                </patternFill>
              </fill>
            </x14:dxf>
          </x14:cfRule>
          <xm:sqref>F2:F60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8" tint="-0.249977111117893"/>
  </sheetPr>
  <dimension ref="A1:Z60"/>
  <sheetViews>
    <sheetView workbookViewId="0">
      <pane ySplit="1" topLeftCell="A17" activePane="bottomLeft" state="frozen"/>
      <selection pane="bottomLeft" activeCell="M30" sqref="M30"/>
    </sheetView>
  </sheetViews>
  <sheetFormatPr defaultColWidth="8.85546875" defaultRowHeight="15" x14ac:dyDescent="0.25"/>
  <cols>
    <col min="1" max="1" width="8.7109375" bestFit="1" customWidth="1"/>
    <col min="2" max="2" width="21" bestFit="1" customWidth="1"/>
    <col min="3" max="3" width="10.42578125" bestFit="1" customWidth="1"/>
    <col min="4" max="4" width="17.7109375" bestFit="1" customWidth="1"/>
    <col min="5" max="5" width="25" bestFit="1" customWidth="1"/>
    <col min="6" max="6" width="19.42578125" style="1" customWidth="1"/>
  </cols>
  <sheetData>
    <row r="1" spans="1:26" ht="13.5" customHeight="1" thickBot="1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49</v>
      </c>
      <c r="F1" s="15" t="s">
        <v>5</v>
      </c>
      <c r="G1" s="42">
        <v>45140</v>
      </c>
      <c r="H1" s="41">
        <v>45147</v>
      </c>
      <c r="I1" s="42">
        <v>45154</v>
      </c>
      <c r="J1" s="42">
        <v>45161</v>
      </c>
      <c r="K1" s="41">
        <v>45168</v>
      </c>
      <c r="L1" s="42">
        <v>45175</v>
      </c>
      <c r="M1" s="42">
        <v>45182</v>
      </c>
      <c r="N1" s="41">
        <v>45189</v>
      </c>
      <c r="O1" s="42">
        <v>45196</v>
      </c>
      <c r="P1" s="42">
        <v>45203</v>
      </c>
      <c r="Q1" s="41">
        <v>45210</v>
      </c>
      <c r="R1" s="42">
        <v>45217</v>
      </c>
      <c r="S1" s="42">
        <v>45224</v>
      </c>
      <c r="T1" s="41">
        <v>45231</v>
      </c>
      <c r="U1" s="42">
        <v>45238</v>
      </c>
      <c r="V1" s="42">
        <v>45245</v>
      </c>
      <c r="W1" s="41">
        <v>45252</v>
      </c>
      <c r="X1" s="42">
        <v>45259</v>
      </c>
      <c r="Y1" s="42">
        <v>45266</v>
      </c>
      <c r="Z1" s="41">
        <v>45273</v>
      </c>
    </row>
    <row r="2" spans="1:26" x14ac:dyDescent="0.25">
      <c r="A2" s="16" t="s">
        <v>50</v>
      </c>
      <c r="B2" s="17" t="str">
        <f>VLOOKUP(A2,Grupy!B:G,2,0)</f>
        <v>DOROTA KIDS+</v>
      </c>
      <c r="C2" s="18">
        <f>VLOOKUP(A2,Grupy!B:G,4,0)</f>
        <v>0.625</v>
      </c>
      <c r="D2" s="17" t="str">
        <f>VLOOKUP(A2,Grupy!B:G,6,0)</f>
        <v>Dorota Polna</v>
      </c>
      <c r="E2" s="16" t="s">
        <v>51</v>
      </c>
      <c r="F2" s="19">
        <f>VLOOKUP(E2,Platnosc!$B:$E,4,0)</f>
        <v>45146</v>
      </c>
      <c r="G2" s="13" t="s">
        <v>13</v>
      </c>
      <c r="H2" s="13" t="s">
        <v>9</v>
      </c>
      <c r="I2" s="13" t="s">
        <v>9</v>
      </c>
      <c r="J2" s="13" t="s">
        <v>13</v>
      </c>
      <c r="K2" s="13" t="s">
        <v>9</v>
      </c>
      <c r="L2" s="13" t="s">
        <v>53</v>
      </c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5">
      <c r="A3" s="20" t="s">
        <v>50</v>
      </c>
      <c r="B3" s="21" t="str">
        <f>VLOOKUP(A3,Grupy!B:G,2,0)</f>
        <v>DOROTA KIDS+</v>
      </c>
      <c r="C3" s="22">
        <f>VLOOKUP(A3,Grupy!B:G,4,0)</f>
        <v>0.625</v>
      </c>
      <c r="D3" s="21" t="str">
        <f>VLOOKUP(A3,Grupy!B:G,6,0)</f>
        <v>Dorota Polna</v>
      </c>
      <c r="E3" s="20" t="s">
        <v>54</v>
      </c>
      <c r="F3" s="23">
        <f>VLOOKUP(E3,Platnosc!$B:$E,4,0)</f>
        <v>45196</v>
      </c>
      <c r="G3" s="13" t="s">
        <v>9</v>
      </c>
      <c r="H3" s="13"/>
      <c r="I3" s="13" t="s">
        <v>9</v>
      </c>
      <c r="J3" s="13" t="s">
        <v>9</v>
      </c>
      <c r="K3" s="13"/>
      <c r="L3" s="13" t="s">
        <v>15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5">
      <c r="A4" s="24" t="s">
        <v>50</v>
      </c>
      <c r="B4" s="25" t="str">
        <f>VLOOKUP(A4,Grupy!B:G,2,0)</f>
        <v>DOROTA KIDS+</v>
      </c>
      <c r="C4" s="26">
        <f>VLOOKUP(A4,Grupy!B:G,4,0)</f>
        <v>0.625</v>
      </c>
      <c r="D4" s="25" t="str">
        <f>VLOOKUP(A4,Grupy!B:G,6,0)</f>
        <v>Dorota Polna</v>
      </c>
      <c r="E4" s="24" t="s">
        <v>55</v>
      </c>
      <c r="F4" s="27">
        <f>VLOOKUP(E4,Platnosc!$B:$E,4,0)</f>
        <v>45146</v>
      </c>
      <c r="G4" s="13" t="s">
        <v>9</v>
      </c>
      <c r="H4" s="13" t="s">
        <v>9</v>
      </c>
      <c r="I4" s="13" t="s">
        <v>9</v>
      </c>
      <c r="J4" s="13" t="s">
        <v>9</v>
      </c>
      <c r="K4" s="13"/>
      <c r="L4" s="13" t="s">
        <v>13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5">
      <c r="A5" s="20" t="s">
        <v>50</v>
      </c>
      <c r="B5" s="21" t="str">
        <f>VLOOKUP(A5,Grupy!B:G,2,0)</f>
        <v>DOROTA KIDS+</v>
      </c>
      <c r="C5" s="22">
        <f>VLOOKUP(A5,Grupy!B:G,4,0)</f>
        <v>0.625</v>
      </c>
      <c r="D5" s="21" t="str">
        <f>VLOOKUP(A5,Grupy!B:G,6,0)</f>
        <v>Dorota Polna</v>
      </c>
      <c r="E5" s="20" t="s">
        <v>223</v>
      </c>
      <c r="F5" s="23">
        <f>VLOOKUP(E5,Platnosc!$B:$E,4,0)</f>
        <v>45174</v>
      </c>
      <c r="G5" s="13" t="s">
        <v>9</v>
      </c>
      <c r="H5" s="13" t="s">
        <v>9</v>
      </c>
      <c r="I5" s="13" t="s">
        <v>13</v>
      </c>
      <c r="J5" s="13" t="s">
        <v>13</v>
      </c>
      <c r="K5" s="13" t="s">
        <v>9</v>
      </c>
      <c r="L5" s="13" t="s">
        <v>56</v>
      </c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5">
      <c r="A6" s="24" t="s">
        <v>50</v>
      </c>
      <c r="B6" s="25" t="str">
        <f>VLOOKUP(A6,Grupy!B:G,2,0)</f>
        <v>DOROTA KIDS+</v>
      </c>
      <c r="C6" s="26">
        <f>VLOOKUP(A6,Grupy!B:G,4,0)</f>
        <v>0.625</v>
      </c>
      <c r="D6" s="25" t="str">
        <f>VLOOKUP(A6,Grupy!B:G,6,0)</f>
        <v>Dorota Polna</v>
      </c>
      <c r="E6" s="24" t="s">
        <v>229</v>
      </c>
      <c r="F6" s="27">
        <f>VLOOKUP(E6,Platnosc!$B:$E,4,0)</f>
        <v>45104</v>
      </c>
      <c r="G6" s="13" t="s">
        <v>11</v>
      </c>
      <c r="H6" s="13" t="s">
        <v>9</v>
      </c>
      <c r="I6" s="13" t="s">
        <v>9</v>
      </c>
      <c r="J6" s="13" t="s">
        <v>13</v>
      </c>
      <c r="K6" s="13" t="s">
        <v>13</v>
      </c>
      <c r="L6" s="13" t="s">
        <v>9</v>
      </c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5">
      <c r="A7" s="20" t="s">
        <v>50</v>
      </c>
      <c r="B7" s="21" t="str">
        <f>VLOOKUP(A7,Grupy!B:G,2,0)</f>
        <v>DOROTA KIDS+</v>
      </c>
      <c r="C7" s="22">
        <f>VLOOKUP(A7,Grupy!B:G,4,0)</f>
        <v>0.625</v>
      </c>
      <c r="D7" s="21" t="str">
        <f>VLOOKUP(A7,Grupy!B:G,6,0)</f>
        <v>Dorota Polna</v>
      </c>
      <c r="E7" s="20" t="s">
        <v>243</v>
      </c>
      <c r="F7" s="23">
        <f>VLOOKUP(E7,Platnosc!$B:$E,4,0)</f>
        <v>45197</v>
      </c>
      <c r="G7" s="13" t="s">
        <v>59</v>
      </c>
      <c r="H7" s="13" t="s">
        <v>9</v>
      </c>
      <c r="I7" s="13" t="s">
        <v>9</v>
      </c>
      <c r="J7" s="13" t="s">
        <v>9</v>
      </c>
      <c r="K7" s="13" t="s">
        <v>13</v>
      </c>
      <c r="L7" s="13" t="s">
        <v>53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5">
      <c r="A8" s="24" t="s">
        <v>50</v>
      </c>
      <c r="B8" s="25" t="str">
        <f>VLOOKUP(A8,Grupy!B:G,2,0)</f>
        <v>DOROTA KIDS+</v>
      </c>
      <c r="C8" s="26">
        <f>VLOOKUP(A8,Grupy!B:G,4,0)</f>
        <v>0.625</v>
      </c>
      <c r="D8" s="25" t="str">
        <f>VLOOKUP(A8,Grupy!B:G,6,0)</f>
        <v>Dorota Polna</v>
      </c>
      <c r="E8" s="24"/>
      <c r="F8" s="27" t="e">
        <f>VLOOKUP(E8,Platnosc!$B:$E,4,0)</f>
        <v>#N/A</v>
      </c>
      <c r="G8" s="13" t="s">
        <v>60</v>
      </c>
      <c r="H8" s="13" t="s">
        <v>61</v>
      </c>
      <c r="I8" s="13" t="s">
        <v>59</v>
      </c>
      <c r="J8" s="13" t="s">
        <v>59</v>
      </c>
      <c r="K8" s="13"/>
      <c r="L8" s="13" t="s">
        <v>15</v>
      </c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A9" s="20" t="s">
        <v>62</v>
      </c>
      <c r="B9" s="21" t="str">
        <f>VLOOKUP(A9,Grupy!B:G,2,0)</f>
        <v>DOROTA PODSTAWA</v>
      </c>
      <c r="C9" s="22">
        <f>VLOOKUP(A9,Grupy!B:G,4,0)</f>
        <v>0.66666666666666663</v>
      </c>
      <c r="D9" s="21" t="str">
        <f>VLOOKUP(A9,Grupy!B:G,6,0)</f>
        <v>Dorota Polna</v>
      </c>
      <c r="E9" s="20"/>
      <c r="F9" s="23" t="e">
        <f>VLOOKUP(E9,Platnosc!$B:$E,4,0)</f>
        <v>#N/A</v>
      </c>
      <c r="G9" s="13" t="s">
        <v>63</v>
      </c>
      <c r="H9" s="13"/>
      <c r="I9" s="13"/>
      <c r="J9" s="13"/>
      <c r="K9" s="13"/>
      <c r="L9" s="13" t="s">
        <v>15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A10" s="24" t="s">
        <v>62</v>
      </c>
      <c r="B10" s="25" t="str">
        <f>VLOOKUP(A10,Grupy!B:G,2,0)</f>
        <v>DOROTA PODSTAWA</v>
      </c>
      <c r="C10" s="26">
        <f>VLOOKUP(A10,Grupy!B:G,4,0)</f>
        <v>0.66666666666666663</v>
      </c>
      <c r="D10" s="25" t="str">
        <f>VLOOKUP(A10,Grupy!B:G,6,0)</f>
        <v>Dorota Polna</v>
      </c>
      <c r="E10" s="24"/>
      <c r="F10" s="27" t="e">
        <f>VLOOKUP(E10,Platnosc!$B:$E,4,0)</f>
        <v>#N/A</v>
      </c>
      <c r="G10" s="13" t="s">
        <v>13</v>
      </c>
      <c r="H10" s="13" t="s">
        <v>9</v>
      </c>
      <c r="I10" s="13" t="s">
        <v>13</v>
      </c>
      <c r="J10" s="13" t="s">
        <v>13</v>
      </c>
      <c r="K10" s="13" t="s">
        <v>13</v>
      </c>
      <c r="L10" s="13" t="s">
        <v>13</v>
      </c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A11" s="20" t="s">
        <v>62</v>
      </c>
      <c r="B11" s="21" t="str">
        <f>VLOOKUP(A11,Grupy!B:G,2,0)</f>
        <v>DOROTA PODSTAWA</v>
      </c>
      <c r="C11" s="22">
        <f>VLOOKUP(A11,Grupy!B:G,4,0)</f>
        <v>0.66666666666666663</v>
      </c>
      <c r="D11" s="21" t="str">
        <f>VLOOKUP(A11,Grupy!B:G,6,0)</f>
        <v>Dorota Polna</v>
      </c>
      <c r="E11" s="20"/>
      <c r="F11" s="23" t="e">
        <f>VLOOKUP(E11,Platnosc!$B:$E,4,0)</f>
        <v>#N/A</v>
      </c>
      <c r="G11" s="13" t="s">
        <v>9</v>
      </c>
      <c r="H11" s="13" t="s">
        <v>9</v>
      </c>
      <c r="I11" s="13" t="s">
        <v>13</v>
      </c>
      <c r="J11" s="13" t="s">
        <v>9</v>
      </c>
      <c r="K11" s="13" t="s">
        <v>9</v>
      </c>
      <c r="L11" s="13" t="s">
        <v>15</v>
      </c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A12" s="24" t="s">
        <v>62</v>
      </c>
      <c r="B12" s="25" t="str">
        <f>VLOOKUP(A12,Grupy!B:G,2,0)</f>
        <v>DOROTA PODSTAWA</v>
      </c>
      <c r="C12" s="26">
        <f>VLOOKUP(A12,Grupy!B:G,4,0)</f>
        <v>0.66666666666666663</v>
      </c>
      <c r="D12" s="25" t="str">
        <f>VLOOKUP(A12,Grupy!B:G,6,0)</f>
        <v>Dorota Polna</v>
      </c>
      <c r="E12" s="24"/>
      <c r="F12" s="27" t="e">
        <f>VLOOKUP(E12,Platnosc!$B:$E,4,0)</f>
        <v>#N/A</v>
      </c>
      <c r="G12" s="13" t="s">
        <v>13</v>
      </c>
      <c r="H12" s="13" t="s">
        <v>9</v>
      </c>
      <c r="I12" s="13" t="s">
        <v>13</v>
      </c>
      <c r="J12" s="13" t="s">
        <v>9</v>
      </c>
      <c r="K12" s="13" t="s">
        <v>9</v>
      </c>
      <c r="L12" s="13" t="s">
        <v>9</v>
      </c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A13" s="20" t="s">
        <v>62</v>
      </c>
      <c r="B13" s="21" t="str">
        <f>VLOOKUP(A13,Grupy!B:G,2,0)</f>
        <v>DOROTA PODSTAWA</v>
      </c>
      <c r="C13" s="22">
        <f>VLOOKUP(A13,Grupy!B:G,4,0)</f>
        <v>0.66666666666666663</v>
      </c>
      <c r="D13" s="21" t="str">
        <f>VLOOKUP(A13,Grupy!B:G,6,0)</f>
        <v>Dorota Polna</v>
      </c>
      <c r="E13" s="20"/>
      <c r="F13" s="23" t="e">
        <f>VLOOKUP(E13,Platnosc!$B:$E,4,0)</f>
        <v>#N/A</v>
      </c>
      <c r="G13" s="13" t="s">
        <v>9</v>
      </c>
      <c r="H13" s="13" t="s">
        <v>9</v>
      </c>
      <c r="I13" s="13" t="s">
        <v>9</v>
      </c>
      <c r="J13" s="13" t="s">
        <v>9</v>
      </c>
      <c r="K13" s="13" t="s">
        <v>9</v>
      </c>
      <c r="L13" s="13" t="s">
        <v>9</v>
      </c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A14" s="24" t="s">
        <v>62</v>
      </c>
      <c r="B14" s="25" t="str">
        <f>VLOOKUP(A14,Grupy!B:G,2,0)</f>
        <v>DOROTA PODSTAWA</v>
      </c>
      <c r="C14" s="26">
        <f>VLOOKUP(A14,Grupy!B:G,4,0)</f>
        <v>0.66666666666666663</v>
      </c>
      <c r="D14" s="25" t="str">
        <f>VLOOKUP(A14,Grupy!B:G,6,0)</f>
        <v>Dorota Polna</v>
      </c>
      <c r="E14" s="24"/>
      <c r="F14" s="27" t="e">
        <f>VLOOKUP(E14,Platnosc!$B:$E,4,0)</f>
        <v>#N/A</v>
      </c>
      <c r="G14" s="13" t="s">
        <v>9</v>
      </c>
      <c r="H14" s="13"/>
      <c r="I14" s="13" t="s">
        <v>9</v>
      </c>
      <c r="J14" s="13" t="s">
        <v>13</v>
      </c>
      <c r="K14" s="13" t="s">
        <v>9</v>
      </c>
      <c r="L14" s="13" t="s">
        <v>9</v>
      </c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A15" s="20" t="s">
        <v>62</v>
      </c>
      <c r="B15" s="21" t="str">
        <f>VLOOKUP(A15,Grupy!B:G,2,0)</f>
        <v>DOROTA PODSTAWA</v>
      </c>
      <c r="C15" s="22">
        <f>VLOOKUP(A15,Grupy!B:G,4,0)</f>
        <v>0.66666666666666663</v>
      </c>
      <c r="D15" s="21" t="str">
        <f>VLOOKUP(A15,Grupy!B:G,6,0)</f>
        <v>Dorota Polna</v>
      </c>
      <c r="E15" s="20"/>
      <c r="F15" s="23" t="e">
        <f>VLOOKUP(E15,Platnosc!$B:$E,4,0)</f>
        <v>#N/A</v>
      </c>
      <c r="G15" s="13" t="s">
        <v>9</v>
      </c>
      <c r="H15" s="13" t="s">
        <v>9</v>
      </c>
      <c r="I15" s="13" t="s">
        <v>9</v>
      </c>
      <c r="J15" s="13" t="s">
        <v>9</v>
      </c>
      <c r="K15" s="13" t="s">
        <v>9</v>
      </c>
      <c r="L15" s="13" t="s">
        <v>9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A16" s="24" t="s">
        <v>62</v>
      </c>
      <c r="B16" s="25" t="str">
        <f>VLOOKUP(A16,Grupy!B:G,2,0)</f>
        <v>DOROTA PODSTAWA</v>
      </c>
      <c r="C16" s="26">
        <f>VLOOKUP(A16,Grupy!B:G,4,0)</f>
        <v>0.66666666666666663</v>
      </c>
      <c r="D16" s="25" t="str">
        <f>VLOOKUP(A16,Grupy!B:G,6,0)</f>
        <v>Dorota Polna</v>
      </c>
      <c r="E16" s="24"/>
      <c r="F16" s="27" t="e">
        <f>VLOOKUP(E16,Platnosc!$B:$E,4,0)</f>
        <v>#N/A</v>
      </c>
      <c r="G16" s="13" t="s">
        <v>13</v>
      </c>
      <c r="H16" s="13"/>
      <c r="I16" s="13"/>
      <c r="J16" s="13"/>
      <c r="K16" s="13"/>
      <c r="L16" s="13" t="s">
        <v>13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5">
      <c r="A17" s="20" t="s">
        <v>64</v>
      </c>
      <c r="B17" s="21" t="str">
        <f>VLOOKUP(A17,Grupy!B:G,2,0)</f>
        <v>DOROTA TEENS</v>
      </c>
      <c r="C17" s="22">
        <f>VLOOKUP(A17,Grupy!B:G,4,0)</f>
        <v>0.71527777777777779</v>
      </c>
      <c r="D17" s="21" t="str">
        <f>VLOOKUP(A17,Grupy!B:G,6,0)</f>
        <v>Dorota Polna</v>
      </c>
      <c r="E17" s="20" t="s">
        <v>29</v>
      </c>
      <c r="F17" s="23">
        <f>VLOOKUP(E17,Platnosc!$B:$E,4,0)</f>
        <v>45175</v>
      </c>
      <c r="G17" s="13"/>
      <c r="H17" s="13"/>
      <c r="I17" s="13"/>
      <c r="J17" s="13"/>
      <c r="K17" s="13"/>
      <c r="L17" s="13" t="s">
        <v>13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5">
      <c r="A18" s="24" t="s">
        <v>64</v>
      </c>
      <c r="B18" s="25" t="str">
        <f>VLOOKUP(A18,Grupy!B:G,2,0)</f>
        <v>DOROTA TEENS</v>
      </c>
      <c r="C18" s="26">
        <f>VLOOKUP(A18,Grupy!B:G,4,0)</f>
        <v>0.71527777777777779</v>
      </c>
      <c r="D18" s="25" t="str">
        <f>VLOOKUP(A18,Grupy!B:G,6,0)</f>
        <v>Dorota Polna</v>
      </c>
      <c r="E18" s="24" t="s">
        <v>65</v>
      </c>
      <c r="F18" s="27">
        <f>VLOOKUP(E18,Platnosc!$B:$E,4,0)</f>
        <v>45175</v>
      </c>
      <c r="G18" s="13" t="s">
        <v>66</v>
      </c>
      <c r="H18" s="13" t="s">
        <v>66</v>
      </c>
      <c r="I18" s="13" t="s">
        <v>66</v>
      </c>
      <c r="J18" s="13" t="s">
        <v>66</v>
      </c>
      <c r="K18" s="13" t="s">
        <v>66</v>
      </c>
      <c r="L18" s="13" t="s">
        <v>9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5">
      <c r="A19" s="20" t="s">
        <v>64</v>
      </c>
      <c r="B19" s="21" t="str">
        <f>VLOOKUP(A19,Grupy!B:G,2,0)</f>
        <v>DOROTA TEENS</v>
      </c>
      <c r="C19" s="22">
        <f>VLOOKUP(A19,Grupy!B:G,4,0)</f>
        <v>0.71527777777777779</v>
      </c>
      <c r="D19" s="21" t="str">
        <f>VLOOKUP(A19,Grupy!B:G,6,0)</f>
        <v>Dorota Polna</v>
      </c>
      <c r="E19" s="20" t="s">
        <v>208</v>
      </c>
      <c r="F19" s="23">
        <f>VLOOKUP(E19,Platnosc!$B:$E,4,0)</f>
        <v>45189</v>
      </c>
      <c r="G19" s="13" t="s">
        <v>67</v>
      </c>
      <c r="H19" s="13" t="s">
        <v>67</v>
      </c>
      <c r="I19" s="13" t="s">
        <v>67</v>
      </c>
      <c r="J19" s="13" t="s">
        <v>67</v>
      </c>
      <c r="K19" s="13" t="s">
        <v>68</v>
      </c>
      <c r="L19" s="13" t="s">
        <v>9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5">
      <c r="A20" s="24" t="s">
        <v>64</v>
      </c>
      <c r="B20" s="25" t="str">
        <f>VLOOKUP(A20,Grupy!B:G,2,0)</f>
        <v>DOROTA TEENS</v>
      </c>
      <c r="C20" s="26">
        <f>VLOOKUP(A20,Grupy!B:G,4,0)</f>
        <v>0.71527777777777779</v>
      </c>
      <c r="D20" s="25" t="str">
        <f>VLOOKUP(A20,Grupy!B:G,6,0)</f>
        <v>Dorota Polna</v>
      </c>
      <c r="E20" s="24" t="s">
        <v>209</v>
      </c>
      <c r="F20" s="27">
        <f>VLOOKUP(E20,Platnosc!$B:$E,4,0)</f>
        <v>45175</v>
      </c>
      <c r="G20" s="13" t="s">
        <v>69</v>
      </c>
      <c r="H20" s="13" t="s">
        <v>66</v>
      </c>
      <c r="I20" s="13" t="s">
        <v>69</v>
      </c>
      <c r="J20" s="13" t="s">
        <v>66</v>
      </c>
      <c r="K20" s="13" t="s">
        <v>69</v>
      </c>
      <c r="L20" s="13" t="s">
        <v>9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5">
      <c r="A21" s="20" t="s">
        <v>64</v>
      </c>
      <c r="B21" s="21" t="str">
        <f>VLOOKUP(A21,Grupy!B:G,2,0)</f>
        <v>DOROTA TEENS</v>
      </c>
      <c r="C21" s="22">
        <f>VLOOKUP(A21,Grupy!B:G,4,0)</f>
        <v>0.71527777777777779</v>
      </c>
      <c r="D21" s="21" t="str">
        <f>VLOOKUP(A21,Grupy!B:G,6,0)</f>
        <v>Dorota Polna</v>
      </c>
      <c r="E21" s="20" t="s">
        <v>210</v>
      </c>
      <c r="F21" s="23">
        <f>VLOOKUP(E21,Platnosc!$B:$E,4,0)</f>
        <v>45196</v>
      </c>
      <c r="G21" s="13" t="s">
        <v>66</v>
      </c>
      <c r="H21" s="13" t="s">
        <v>66</v>
      </c>
      <c r="I21" s="13" t="s">
        <v>69</v>
      </c>
      <c r="J21" s="13" t="s">
        <v>66</v>
      </c>
      <c r="K21" s="13" t="s">
        <v>66</v>
      </c>
      <c r="L21" s="13" t="s">
        <v>15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5">
      <c r="A22" s="24" t="s">
        <v>64</v>
      </c>
      <c r="B22" s="25" t="str">
        <f>VLOOKUP(A22,Grupy!B:G,2,0)</f>
        <v>DOROTA TEENS</v>
      </c>
      <c r="C22" s="26">
        <f>VLOOKUP(A22,Grupy!B:G,4,0)</f>
        <v>0.71527777777777779</v>
      </c>
      <c r="D22" s="25" t="str">
        <f>VLOOKUP(A22,Grupy!B:G,6,0)</f>
        <v>Dorota Polna</v>
      </c>
      <c r="E22" s="24"/>
      <c r="F22" s="27" t="e">
        <f>VLOOKUP(E22,Platnosc!$B:$E,4,0)</f>
        <v>#N/A</v>
      </c>
      <c r="G22" s="13" t="s">
        <v>66</v>
      </c>
      <c r="H22" s="13" t="s">
        <v>66</v>
      </c>
      <c r="I22" s="13" t="s">
        <v>66</v>
      </c>
      <c r="J22" s="13" t="s">
        <v>66</v>
      </c>
      <c r="K22" s="13" t="s">
        <v>66</v>
      </c>
      <c r="L22" s="13" t="s">
        <v>58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5">
      <c r="A23" s="20" t="s">
        <v>64</v>
      </c>
      <c r="B23" s="21" t="str">
        <f>VLOOKUP(A23,Grupy!B:G,2,0)</f>
        <v>DOROTA TEENS</v>
      </c>
      <c r="C23" s="22">
        <f>VLOOKUP(A23,Grupy!B:G,4,0)</f>
        <v>0.71527777777777779</v>
      </c>
      <c r="D23" s="21" t="str">
        <f>VLOOKUP(A23,Grupy!B:G,6,0)</f>
        <v>Dorota Polna</v>
      </c>
      <c r="E23" s="20"/>
      <c r="F23" s="23" t="e">
        <f>VLOOKUP(E23,Platnosc!$B:$E,4,0)</f>
        <v>#N/A</v>
      </c>
      <c r="G23" s="13" t="s">
        <v>66</v>
      </c>
      <c r="H23" s="13" t="s">
        <v>66</v>
      </c>
      <c r="I23" s="13" t="s">
        <v>66</v>
      </c>
      <c r="J23" s="13" t="s">
        <v>66</v>
      </c>
      <c r="K23" s="13" t="s">
        <v>66</v>
      </c>
      <c r="L23" s="13" t="s">
        <v>70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5">
      <c r="A24" s="24" t="s">
        <v>64</v>
      </c>
      <c r="B24" s="25" t="str">
        <f>VLOOKUP(A24,Grupy!B:G,2,0)</f>
        <v>DOROTA TEENS</v>
      </c>
      <c r="C24" s="26">
        <f>VLOOKUP(A24,Grupy!B:G,4,0)</f>
        <v>0.71527777777777779</v>
      </c>
      <c r="D24" s="25" t="str">
        <f>VLOOKUP(A24,Grupy!B:G,6,0)</f>
        <v>Dorota Polna</v>
      </c>
      <c r="E24" s="24"/>
      <c r="F24" s="27" t="e">
        <f>VLOOKUP(E24,Platnosc!$B:$E,4,0)</f>
        <v>#N/A</v>
      </c>
      <c r="G24" s="13" t="s">
        <v>66</v>
      </c>
      <c r="H24" s="13"/>
      <c r="I24" s="13" t="s">
        <v>71</v>
      </c>
      <c r="J24" s="13" t="s">
        <v>72</v>
      </c>
      <c r="K24" s="13" t="s">
        <v>73</v>
      </c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5">
      <c r="A25" s="20" t="s">
        <v>74</v>
      </c>
      <c r="B25" s="21" t="str">
        <f>VLOOKUP(A25,Grupy!B:G,2,0)</f>
        <v>DOROTA ŚREDNI</v>
      </c>
      <c r="C25" s="22">
        <f>VLOOKUP(A25,Grupy!B:G,4,0)</f>
        <v>0.75694444444444453</v>
      </c>
      <c r="D25" s="21" t="str">
        <f>VLOOKUP(A25,Grupy!B:G,6,0)</f>
        <v>Dorota Polna</v>
      </c>
      <c r="E25" s="20" t="s">
        <v>75</v>
      </c>
      <c r="F25" s="23">
        <f>VLOOKUP(E25,Platnosc!$B:$E,4,0)</f>
        <v>45196</v>
      </c>
      <c r="G25" s="13" t="s">
        <v>76</v>
      </c>
      <c r="H25" s="13"/>
      <c r="I25" s="13"/>
      <c r="J25" s="13" t="s">
        <v>77</v>
      </c>
      <c r="K25" s="13" t="s">
        <v>78</v>
      </c>
      <c r="L25" s="13" t="s">
        <v>69</v>
      </c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5">
      <c r="A26" s="24" t="s">
        <v>74</v>
      </c>
      <c r="B26" s="25" t="str">
        <f>VLOOKUP(A26,Grupy!B:G,2,0)</f>
        <v>DOROTA ŚREDNI</v>
      </c>
      <c r="C26" s="26">
        <f>VLOOKUP(A26,Grupy!B:G,4,0)</f>
        <v>0.75694444444444453</v>
      </c>
      <c r="D26" s="25" t="str">
        <f>VLOOKUP(A26,Grupy!B:G,6,0)</f>
        <v>Dorota Polna</v>
      </c>
      <c r="E26" s="24" t="s">
        <v>79</v>
      </c>
      <c r="F26" s="27">
        <f>VLOOKUP(E26,Platnosc!$B:$E,4,0)</f>
        <v>45166</v>
      </c>
      <c r="G26" s="13" t="s">
        <v>69</v>
      </c>
      <c r="H26" s="13" t="s">
        <v>66</v>
      </c>
      <c r="I26" s="13" t="s">
        <v>66</v>
      </c>
      <c r="J26" s="13" t="s">
        <v>66</v>
      </c>
      <c r="K26" s="13" t="s">
        <v>66</v>
      </c>
      <c r="L26" s="13" t="s">
        <v>80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5">
      <c r="A27" s="20" t="s">
        <v>74</v>
      </c>
      <c r="B27" s="21" t="str">
        <f>VLOOKUP(A27,Grupy!B:G,2,0)</f>
        <v>DOROTA ŚREDNI</v>
      </c>
      <c r="C27" s="22">
        <f>VLOOKUP(A27,Grupy!B:G,4,0)</f>
        <v>0.75694444444444453</v>
      </c>
      <c r="D27" s="21" t="str">
        <f>VLOOKUP(A27,Grupy!B:G,6,0)</f>
        <v>Dorota Polna</v>
      </c>
      <c r="E27" s="20" t="s">
        <v>81</v>
      </c>
      <c r="F27" s="23">
        <f>VLOOKUP(E27,Platnosc!$B:$E,4,0)</f>
        <v>45196</v>
      </c>
      <c r="G27" s="13" t="s">
        <v>66</v>
      </c>
      <c r="H27" s="13" t="s">
        <v>66</v>
      </c>
      <c r="I27" s="13" t="s">
        <v>66</v>
      </c>
      <c r="J27" s="13" t="s">
        <v>66</v>
      </c>
      <c r="K27" s="13" t="s">
        <v>66</v>
      </c>
      <c r="L27" s="13" t="s">
        <v>66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5">
      <c r="A28" s="25" t="s">
        <v>74</v>
      </c>
      <c r="B28" s="25" t="str">
        <f>VLOOKUP(A28,Grupy!B:G,2,0)</f>
        <v>DOROTA ŚREDNI</v>
      </c>
      <c r="C28" s="26">
        <f>VLOOKUP(A28,Grupy!B:G,4,0)</f>
        <v>0.75694444444444453</v>
      </c>
      <c r="D28" s="25" t="str">
        <f>VLOOKUP(A28,Grupy!B:G,6,0)</f>
        <v>Dorota Polna</v>
      </c>
      <c r="E28" s="24" t="s">
        <v>82</v>
      </c>
      <c r="F28" s="27">
        <f>VLOOKUP(E28,Platnosc!$B:$E,4,0)</f>
        <v>45189</v>
      </c>
      <c r="G28" s="13" t="s">
        <v>66</v>
      </c>
      <c r="H28" s="13" t="s">
        <v>66</v>
      </c>
      <c r="I28" s="13" t="s">
        <v>66</v>
      </c>
      <c r="J28" s="13" t="s">
        <v>66</v>
      </c>
      <c r="K28" s="13" t="s">
        <v>66</v>
      </c>
      <c r="L28" s="13" t="s">
        <v>66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5">
      <c r="A29" s="20" t="s">
        <v>74</v>
      </c>
      <c r="B29" s="21" t="str">
        <f>VLOOKUP(A29,Grupy!B:G,2,0)</f>
        <v>DOROTA ŚREDNI</v>
      </c>
      <c r="C29" s="22">
        <f>VLOOKUP(A29,Grupy!B:G,4,0)</f>
        <v>0.75694444444444453</v>
      </c>
      <c r="D29" s="21" t="str">
        <f>VLOOKUP(A29,Grupy!B:G,6,0)</f>
        <v>Dorota Polna</v>
      </c>
      <c r="E29" s="20" t="s">
        <v>83</v>
      </c>
      <c r="F29" s="23">
        <f>VLOOKUP(E29,Platnosc!$B:$E,4,0)</f>
        <v>45175</v>
      </c>
      <c r="G29" s="13"/>
      <c r="H29" s="13"/>
      <c r="I29" s="13" t="s">
        <v>76</v>
      </c>
      <c r="J29" s="13" t="s">
        <v>84</v>
      </c>
      <c r="K29" s="13" t="s">
        <v>85</v>
      </c>
      <c r="L29" s="13" t="s">
        <v>66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5">
      <c r="A30" s="24" t="s">
        <v>74</v>
      </c>
      <c r="B30" s="25" t="str">
        <f>VLOOKUP(A30,Grupy!B:G,2,0)</f>
        <v>DOROTA ŚREDNI</v>
      </c>
      <c r="C30" s="26">
        <f>VLOOKUP(A30,Grupy!B:G,4,0)</f>
        <v>0.75694444444444453</v>
      </c>
      <c r="D30" s="25" t="str">
        <f>VLOOKUP(A30,Grupy!B:G,6,0)</f>
        <v>Dorota Polna</v>
      </c>
      <c r="E30" s="24" t="s">
        <v>86</v>
      </c>
      <c r="F30" s="27">
        <f>VLOOKUP(E30,Platnosc!$B:$E,4,0)</f>
        <v>45189</v>
      </c>
      <c r="G30" s="13" t="s">
        <v>66</v>
      </c>
      <c r="H30" s="13" t="s">
        <v>66</v>
      </c>
      <c r="I30" s="13" t="s">
        <v>66</v>
      </c>
      <c r="J30" s="13" t="s">
        <v>66</v>
      </c>
      <c r="K30" s="13" t="s">
        <v>66</v>
      </c>
      <c r="L30" s="13" t="s">
        <v>66</v>
      </c>
      <c r="M30" s="13" t="s">
        <v>69</v>
      </c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5">
      <c r="A31" s="20" t="s">
        <v>74</v>
      </c>
      <c r="B31" s="21" t="str">
        <f>VLOOKUP(A31,Grupy!B:G,2,0)</f>
        <v>DOROTA ŚREDNI</v>
      </c>
      <c r="C31" s="22">
        <f>VLOOKUP(A31,Grupy!B:G,4,0)</f>
        <v>0.75694444444444453</v>
      </c>
      <c r="D31" s="21" t="str">
        <f>VLOOKUP(A31,Grupy!B:G,6,0)</f>
        <v>Dorota Polna</v>
      </c>
      <c r="E31" s="20" t="s">
        <v>87</v>
      </c>
      <c r="F31" s="23">
        <f>VLOOKUP(E31,Platnosc!$B:$E,4,0)</f>
        <v>45189</v>
      </c>
      <c r="G31" s="13" t="s">
        <v>66</v>
      </c>
      <c r="H31" s="13" t="s">
        <v>66</v>
      </c>
      <c r="I31" s="13" t="s">
        <v>66</v>
      </c>
      <c r="J31" s="13" t="s">
        <v>66</v>
      </c>
      <c r="K31" s="13" t="s">
        <v>66</v>
      </c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5">
      <c r="A32" s="24" t="s">
        <v>88</v>
      </c>
      <c r="B32" s="25" t="str">
        <f>VLOOKUP(A32,Grupy!B:G,2,0)</f>
        <v>DOROTA J TEENS 0</v>
      </c>
      <c r="C32" s="26">
        <f>VLOOKUP(A32,Grupy!B:G,4,0)</f>
        <v>0.80555555555555547</v>
      </c>
      <c r="D32" s="25" t="str">
        <f>VLOOKUP(A32,Grupy!B:G,6,0)</f>
        <v>Dorota Jaszkiewicz</v>
      </c>
      <c r="E32" s="24" t="s">
        <v>89</v>
      </c>
      <c r="F32" s="27">
        <f>VLOOKUP(E32,Platnosc!$B:$E,4,0)</f>
        <v>45182</v>
      </c>
      <c r="G32" s="13" t="s">
        <v>66</v>
      </c>
      <c r="H32" s="13" t="s">
        <v>66</v>
      </c>
      <c r="I32" s="13" t="s">
        <v>66</v>
      </c>
      <c r="J32" s="13" t="s">
        <v>66</v>
      </c>
      <c r="K32" s="13" t="s">
        <v>66</v>
      </c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20" t="s">
        <v>88</v>
      </c>
      <c r="B33" s="21" t="str">
        <f>VLOOKUP(A33,Grupy!B:G,2,0)</f>
        <v>DOROTA J TEENS 0</v>
      </c>
      <c r="C33" s="22">
        <f>VLOOKUP(A33,Grupy!B:G,4,0)</f>
        <v>0.80555555555555547</v>
      </c>
      <c r="D33" s="21" t="str">
        <f>VLOOKUP(A33,Grupy!B:G,6,0)</f>
        <v>Dorota Jaszkiewicz</v>
      </c>
      <c r="E33" s="20" t="s">
        <v>203</v>
      </c>
      <c r="F33" s="23">
        <f>VLOOKUP(E33,Platnosc!$B:$E,4,0)</f>
        <v>45198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24" t="s">
        <v>88</v>
      </c>
      <c r="B34" s="25" t="str">
        <f>VLOOKUP(A34,Grupy!B:G,2,0)</f>
        <v>DOROTA J TEENS 0</v>
      </c>
      <c r="C34" s="26">
        <f>VLOOKUP(A34,Grupy!B:G,4,0)</f>
        <v>0.80555555555555547</v>
      </c>
      <c r="D34" s="25" t="str">
        <f>VLOOKUP(A34,Grupy!B:G,6,0)</f>
        <v>Dorota Jaszkiewicz</v>
      </c>
      <c r="E34" s="24" t="s">
        <v>216</v>
      </c>
      <c r="F34" s="27">
        <f>VLOOKUP(E34,Platnosc!$B:$E,4,0)</f>
        <v>45147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20" t="s">
        <v>88</v>
      </c>
      <c r="B35" s="21" t="str">
        <f>VLOOKUP(A35,Grupy!B:G,2,0)</f>
        <v>DOROTA J TEENS 0</v>
      </c>
      <c r="C35" s="22">
        <f>VLOOKUP(A35,Grupy!B:G,4,0)</f>
        <v>0.80555555555555547</v>
      </c>
      <c r="D35" s="21" t="str">
        <f>VLOOKUP(A35,Grupy!B:G,6,0)</f>
        <v>Dorota Jaszkiewicz</v>
      </c>
      <c r="E35" s="20" t="s">
        <v>218</v>
      </c>
      <c r="F35" s="23">
        <f>VLOOKUP(E35,Platnosc!$B:$E,4,0)</f>
        <v>45182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24" t="s">
        <v>88</v>
      </c>
      <c r="B36" s="25" t="str">
        <f>VLOOKUP(A36,Grupy!B:G,2,0)</f>
        <v>DOROTA J TEENS 0</v>
      </c>
      <c r="C36" s="26">
        <f>VLOOKUP(A36,Grupy!B:G,4,0)</f>
        <v>0.80555555555555547</v>
      </c>
      <c r="D36" s="25" t="str">
        <f>VLOOKUP(A36,Grupy!B:G,6,0)</f>
        <v>Dorota Jaszkiewicz</v>
      </c>
      <c r="E36" s="24" t="s">
        <v>219</v>
      </c>
      <c r="F36" s="27">
        <f>VLOOKUP(E36,Platnosc!$B:$E,4,0)</f>
        <v>45182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20" t="s">
        <v>88</v>
      </c>
      <c r="B37" s="21" t="str">
        <f>VLOOKUP(A37,Grupy!B:G,2,0)</f>
        <v>DOROTA J TEENS 0</v>
      </c>
      <c r="C37" s="22">
        <f>VLOOKUP(A37,Grupy!B:G,4,0)</f>
        <v>0.80555555555555547</v>
      </c>
      <c r="D37" s="21" t="str">
        <f>VLOOKUP(A37,Grupy!B:G,6,0)</f>
        <v>Dorota Jaszkiewicz</v>
      </c>
      <c r="E37" s="20" t="s">
        <v>221</v>
      </c>
      <c r="F37" s="23">
        <f>VLOOKUP(E37,Platnosc!$B:$E,4,0)</f>
        <v>45182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24" t="s">
        <v>88</v>
      </c>
      <c r="B38" s="25" t="str">
        <f>VLOOKUP(A38,Grupy!B:G,2,0)</f>
        <v>DOROTA J TEENS 0</v>
      </c>
      <c r="C38" s="26">
        <f>VLOOKUP(A38,Grupy!B:G,4,0)</f>
        <v>0.80555555555555547</v>
      </c>
      <c r="D38" s="25" t="str">
        <f>VLOOKUP(A38,Grupy!B:G,6,0)</f>
        <v>Dorota Jaszkiewicz</v>
      </c>
      <c r="E38" s="24" t="s">
        <v>228</v>
      </c>
      <c r="F38" s="27">
        <f>VLOOKUP(E38,Platnosc!$B:$E,4,0)</f>
        <v>45203</v>
      </c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20" t="s">
        <v>88</v>
      </c>
      <c r="B39" s="21" t="str">
        <f>VLOOKUP(A39,Grupy!B:G,2,0)</f>
        <v>DOROTA J TEENS 0</v>
      </c>
      <c r="C39" s="22">
        <f>VLOOKUP(A39,Grupy!B:G,4,0)</f>
        <v>0.80555555555555547</v>
      </c>
      <c r="D39" s="21" t="str">
        <f>VLOOKUP(A39,Grupy!B:G,6,0)</f>
        <v>Dorota Jaszkiewicz</v>
      </c>
      <c r="E39" s="20"/>
      <c r="F39" s="23" t="e">
        <f>VLOOKUP(E39,Platnosc!$B:$E,4,0)</f>
        <v>#N/A</v>
      </c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24" t="s">
        <v>90</v>
      </c>
      <c r="B40" s="25" t="str">
        <f>VLOOKUP(A40,Grupy!B:G,2,0)</f>
        <v>DOROTA ZERO</v>
      </c>
      <c r="C40" s="26">
        <f>VLOOKUP(A40,Grupy!B:G,4,0)</f>
        <v>0.85416666666666663</v>
      </c>
      <c r="D40" s="25" t="str">
        <f>VLOOKUP(A40,Grupy!B:G,6,0)</f>
        <v>Dorota Jaszkiewicz</v>
      </c>
      <c r="E40" s="24" t="s">
        <v>250</v>
      </c>
      <c r="F40" s="27" t="e">
        <f>VLOOKUP(E40,Platnosc!$B:$E,4,0)</f>
        <v>#N/A</v>
      </c>
      <c r="G40" s="13"/>
      <c r="H40" s="13"/>
      <c r="I40" s="13"/>
      <c r="J40" s="13"/>
      <c r="K40" s="13"/>
      <c r="L40" s="13" t="s">
        <v>66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20" t="s">
        <v>90</v>
      </c>
      <c r="B41" s="21" t="str">
        <f>VLOOKUP(A41,Grupy!B:G,2,0)</f>
        <v>DOROTA ZERO</v>
      </c>
      <c r="C41" s="22">
        <f>VLOOKUP(A41,Grupy!B:G,4,0)</f>
        <v>0.85416666666666663</v>
      </c>
      <c r="D41" s="21" t="str">
        <f>VLOOKUP(A41,Grupy!B:G,6,0)</f>
        <v>Dorota Jaszkiewicz</v>
      </c>
      <c r="E41" s="20" t="s">
        <v>251</v>
      </c>
      <c r="F41" s="23" t="e">
        <f>VLOOKUP(E41,Platnosc!$B:$E,4,0)</f>
        <v>#N/A</v>
      </c>
      <c r="G41" s="13"/>
      <c r="H41" s="13"/>
      <c r="I41" s="13"/>
      <c r="J41" s="13"/>
      <c r="K41" s="13"/>
      <c r="L41" s="13" t="s">
        <v>66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24" t="s">
        <v>90</v>
      </c>
      <c r="B42" s="25" t="str">
        <f>VLOOKUP(A42,Grupy!B:G,2,0)</f>
        <v>DOROTA ZERO</v>
      </c>
      <c r="C42" s="26">
        <f>VLOOKUP(A42,Grupy!B:G,4,0)</f>
        <v>0.85416666666666663</v>
      </c>
      <c r="D42" s="25" t="str">
        <f>VLOOKUP(A42,Grupy!B:G,6,0)</f>
        <v>Dorota Jaszkiewicz</v>
      </c>
      <c r="E42" s="24" t="s">
        <v>252</v>
      </c>
      <c r="F42" s="27" t="e">
        <f>VLOOKUP(E42,Platnosc!$B:$E,4,0)</f>
        <v>#N/A</v>
      </c>
      <c r="G42" s="13"/>
      <c r="H42" s="13"/>
      <c r="I42" s="13"/>
      <c r="J42" s="13"/>
      <c r="K42" s="13"/>
      <c r="L42" s="13" t="s">
        <v>66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20" t="s">
        <v>90</v>
      </c>
      <c r="B43" s="21" t="str">
        <f>VLOOKUP(A43,Grupy!B:G,2,0)</f>
        <v>DOROTA ZERO</v>
      </c>
      <c r="C43" s="22">
        <f>VLOOKUP(A43,Grupy!B:G,4,0)</f>
        <v>0.85416666666666663</v>
      </c>
      <c r="D43" s="21" t="str">
        <f>VLOOKUP(A43,Grupy!B:G,6,0)</f>
        <v>Dorota Jaszkiewicz</v>
      </c>
      <c r="E43" s="20" t="s">
        <v>253</v>
      </c>
      <c r="F43" s="23" t="e">
        <f>VLOOKUP(E43,Platnosc!$B:$E,4,0)</f>
        <v>#N/A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24" t="s">
        <v>90</v>
      </c>
      <c r="B44" s="25" t="str">
        <f>VLOOKUP(A44,Grupy!B:G,2,0)</f>
        <v>DOROTA ZERO</v>
      </c>
      <c r="C44" s="26">
        <f>VLOOKUP(A44,Grupy!B:G,4,0)</f>
        <v>0.85416666666666663</v>
      </c>
      <c r="D44" s="25" t="str">
        <f>VLOOKUP(A44,Grupy!B:G,6,0)</f>
        <v>Dorota Jaszkiewicz</v>
      </c>
      <c r="E44" s="24"/>
      <c r="F44" s="27" t="e">
        <f>VLOOKUP(E44,Platnosc!$B:$E,4,0)</f>
        <v>#N/A</v>
      </c>
      <c r="G44" s="13"/>
      <c r="H44" s="13"/>
      <c r="I44" s="13"/>
      <c r="J44" s="13"/>
      <c r="K44" s="13"/>
      <c r="L44" s="13" t="s">
        <v>66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20" t="s">
        <v>90</v>
      </c>
      <c r="B45" s="21" t="str">
        <f>VLOOKUP(A45,Grupy!B:G,2,0)</f>
        <v>DOROTA ZERO</v>
      </c>
      <c r="C45" s="22">
        <f>VLOOKUP(A45,Grupy!B:G,4,0)</f>
        <v>0.85416666666666663</v>
      </c>
      <c r="D45" s="21" t="str">
        <f>VLOOKUP(A45,Grupy!B:G,6,0)</f>
        <v>Dorota Jaszkiewicz</v>
      </c>
      <c r="E45" s="20"/>
      <c r="F45" s="23" t="e">
        <f>VLOOKUP(E45,Platnosc!$B:$E,4,0)</f>
        <v>#N/A</v>
      </c>
      <c r="G45" s="13"/>
      <c r="H45" s="13"/>
      <c r="I45" s="13"/>
      <c r="J45" s="13"/>
      <c r="K45" s="13"/>
      <c r="L45" s="13" t="s">
        <v>66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24" t="s">
        <v>90</v>
      </c>
      <c r="B46" s="25" t="str">
        <f>VLOOKUP(A46,Grupy!B:G,2,0)</f>
        <v>DOROTA ZERO</v>
      </c>
      <c r="C46" s="26">
        <f>VLOOKUP(A46,Grupy!B:G,4,0)</f>
        <v>0.85416666666666663</v>
      </c>
      <c r="D46" s="25" t="str">
        <f>VLOOKUP(A46,Grupy!B:G,6,0)</f>
        <v>Dorota Jaszkiewicz</v>
      </c>
      <c r="E46" s="24"/>
      <c r="F46" s="27" t="e">
        <f>VLOOKUP(E46,Platnosc!$B:$E,4,0)</f>
        <v>#N/A</v>
      </c>
      <c r="G46" s="13"/>
      <c r="H46" s="13"/>
      <c r="I46" s="13"/>
      <c r="J46" s="13"/>
      <c r="K46" s="13"/>
      <c r="L46" s="13" t="s">
        <v>66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20" t="s">
        <v>91</v>
      </c>
      <c r="B47" s="21" t="str">
        <f>VLOOKUP(A47,Grupy!B:G,2,0)</f>
        <v>DOROTA PODSTAWA +</v>
      </c>
      <c r="C47" s="22">
        <f>VLOOKUP(A47,Grupy!B:G,4,0)</f>
        <v>0.89583333333333337</v>
      </c>
      <c r="D47" s="21" t="str">
        <f>VLOOKUP(A47,Grupy!B:G,6,0)</f>
        <v>Dorota Jaszkiewicz</v>
      </c>
      <c r="E47" s="20" t="s">
        <v>92</v>
      </c>
      <c r="F47" s="23">
        <f>VLOOKUP(E47,Platnosc!$B:$E,4,0)</f>
        <v>45196</v>
      </c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24" t="s">
        <v>91</v>
      </c>
      <c r="B48" s="25" t="str">
        <f>VLOOKUP(A48,Grupy!B:G,2,0)</f>
        <v>DOROTA PODSTAWA +</v>
      </c>
      <c r="C48" s="26">
        <f>VLOOKUP(A48,Grupy!B:G,4,0)</f>
        <v>0.89583333333333337</v>
      </c>
      <c r="D48" s="25" t="str">
        <f>VLOOKUP(A48,Grupy!B:G,6,0)</f>
        <v>Dorota Jaszkiewicz</v>
      </c>
      <c r="E48" s="24" t="s">
        <v>93</v>
      </c>
      <c r="F48" s="27">
        <f>VLOOKUP(E48,Platnosc!$B:$E,4,0)</f>
        <v>45189</v>
      </c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20" t="s">
        <v>91</v>
      </c>
      <c r="B49" s="21" t="str">
        <f>VLOOKUP(A49,Grupy!B:G,2,0)</f>
        <v>DOROTA PODSTAWA +</v>
      </c>
      <c r="C49" s="22">
        <f>VLOOKUP(A49,Grupy!B:G,4,0)</f>
        <v>0.89583333333333337</v>
      </c>
      <c r="D49" s="21" t="str">
        <f>VLOOKUP(A49,Grupy!B:G,6,0)</f>
        <v>Dorota Jaszkiewicz</v>
      </c>
      <c r="E49" s="20" t="s">
        <v>94</v>
      </c>
      <c r="F49" s="23">
        <f>VLOOKUP(E49,Platnosc!$B:$E,4,0)</f>
        <v>45196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24" t="s">
        <v>91</v>
      </c>
      <c r="B50" s="25" t="str">
        <f>VLOOKUP(A50,Grupy!B:G,2,0)</f>
        <v>DOROTA PODSTAWA +</v>
      </c>
      <c r="C50" s="26">
        <f>VLOOKUP(A50,Grupy!B:G,4,0)</f>
        <v>0.89583333333333337</v>
      </c>
      <c r="D50" s="25" t="str">
        <f>VLOOKUP(A50,Grupy!B:G,6,0)</f>
        <v>Dorota Jaszkiewicz</v>
      </c>
      <c r="E50" s="24" t="s">
        <v>95</v>
      </c>
      <c r="F50" s="27">
        <f>VLOOKUP(E50,Platnosc!$B:$E,4,0)</f>
        <v>45090</v>
      </c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20" t="s">
        <v>91</v>
      </c>
      <c r="B51" s="21" t="str">
        <f>VLOOKUP(A51,Grupy!B:G,2,0)</f>
        <v>DOROTA PODSTAWA +</v>
      </c>
      <c r="C51" s="22">
        <f>VLOOKUP(A51,Grupy!B:G,4,0)</f>
        <v>0.89583333333333337</v>
      </c>
      <c r="D51" s="21" t="str">
        <f>VLOOKUP(A51,Grupy!B:G,6,0)</f>
        <v>Dorota Jaszkiewicz</v>
      </c>
      <c r="E51" s="20" t="s">
        <v>96</v>
      </c>
      <c r="F51" s="23">
        <f>VLOOKUP(E51,Platnosc!$B:$E,4,0)</f>
        <v>45175</v>
      </c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5">
      <c r="A52" s="24" t="s">
        <v>91</v>
      </c>
      <c r="B52" s="25" t="str">
        <f>VLOOKUP(A52,Grupy!B:G,2,0)</f>
        <v>DOROTA PODSTAWA +</v>
      </c>
      <c r="C52" s="26">
        <f>VLOOKUP(A52,Grupy!B:G,4,0)</f>
        <v>0.89583333333333337</v>
      </c>
      <c r="D52" s="25" t="str">
        <f>VLOOKUP(A52,Grupy!B:G,6,0)</f>
        <v>Dorota Jaszkiewicz</v>
      </c>
      <c r="E52" s="24" t="s">
        <v>97</v>
      </c>
      <c r="F52" s="27">
        <f>VLOOKUP(E52,Platnosc!$B:$E,4,0)</f>
        <v>45182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5">
      <c r="A53" s="20" t="s">
        <v>91</v>
      </c>
      <c r="B53" s="21" t="str">
        <f>VLOOKUP(A53,Grupy!B:G,2,0)</f>
        <v>DOROTA PODSTAWA +</v>
      </c>
      <c r="C53" s="22">
        <f>VLOOKUP(A53,Grupy!B:G,4,0)</f>
        <v>0.89583333333333337</v>
      </c>
      <c r="D53" s="21" t="str">
        <f>VLOOKUP(A53,Grupy!B:G,6,0)</f>
        <v>Dorota Jaszkiewicz</v>
      </c>
      <c r="E53" s="20" t="s">
        <v>226</v>
      </c>
      <c r="F53" s="23">
        <f>VLOOKUP(E53,Platnosc!$B:$E,4,0)</f>
        <v>45196</v>
      </c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5">
      <c r="A54" s="24"/>
      <c r="B54" s="25" t="e">
        <f>VLOOKUP(A54,Grupy!B:G,2,0)</f>
        <v>#N/A</v>
      </c>
      <c r="C54" s="26" t="e">
        <f>VLOOKUP(A54,Grupy!B:G,4,0)</f>
        <v>#N/A</v>
      </c>
      <c r="D54" s="25" t="e">
        <f>VLOOKUP(A54,Grupy!B:G,6,0)</f>
        <v>#N/A</v>
      </c>
      <c r="E54" s="24"/>
      <c r="F54" s="27" t="e">
        <f>VLOOKUP(E54,Platnosc!$B:$E,4,0)</f>
        <v>#N/A</v>
      </c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5">
      <c r="A55" s="20"/>
      <c r="B55" s="21" t="e">
        <f>VLOOKUP(A55,Grupy!B:G,2,0)</f>
        <v>#N/A</v>
      </c>
      <c r="C55" s="22" t="e">
        <f>VLOOKUP(A55,Grupy!B:G,4,0)</f>
        <v>#N/A</v>
      </c>
      <c r="D55" s="21" t="e">
        <f>VLOOKUP(A55,Grupy!B:G,6,0)</f>
        <v>#N/A</v>
      </c>
      <c r="E55" s="20"/>
      <c r="F55" s="23" t="e">
        <f>VLOOKUP(E55,Platnosc!$B:$E,4,0)</f>
        <v>#N/A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5">
      <c r="A56" s="24"/>
      <c r="B56" s="25" t="e">
        <f>VLOOKUP(A56,Grupy!B:G,2,0)</f>
        <v>#N/A</v>
      </c>
      <c r="C56" s="26" t="e">
        <f>VLOOKUP(A56,Grupy!B:G,4,0)</f>
        <v>#N/A</v>
      </c>
      <c r="D56" s="25" t="e">
        <f>VLOOKUP(A56,Grupy!B:G,6,0)</f>
        <v>#N/A</v>
      </c>
      <c r="E56" s="24"/>
      <c r="F56" s="27" t="e">
        <f>VLOOKUP(E56,Platnosc!$B:$E,4,0)</f>
        <v>#N/A</v>
      </c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5">
      <c r="A57" s="20"/>
      <c r="B57" s="21" t="e">
        <f>VLOOKUP(A57,Grupy!B:G,2,0)</f>
        <v>#N/A</v>
      </c>
      <c r="C57" s="22" t="e">
        <f>VLOOKUP(A57,Grupy!B:G,4,0)</f>
        <v>#N/A</v>
      </c>
      <c r="D57" s="21" t="e">
        <f>VLOOKUP(A57,Grupy!B:G,6,0)</f>
        <v>#N/A</v>
      </c>
      <c r="E57" s="20"/>
      <c r="F57" s="23" t="e">
        <f>VLOOKUP(E57,Platnosc!$B:$E,4,0)</f>
        <v>#N/A</v>
      </c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5">
      <c r="A58" s="24"/>
      <c r="B58" s="25" t="e">
        <f>VLOOKUP(A58,Grupy!B:G,2,0)</f>
        <v>#N/A</v>
      </c>
      <c r="C58" s="26" t="e">
        <f>VLOOKUP(A58,Grupy!B:G,4,0)</f>
        <v>#N/A</v>
      </c>
      <c r="D58" s="25" t="e">
        <f>VLOOKUP(A58,Grupy!B:G,6,0)</f>
        <v>#N/A</v>
      </c>
      <c r="E58" s="24"/>
      <c r="F58" s="27" t="e">
        <f>VLOOKUP(E58,Platnosc!$B:$E,4,0)</f>
        <v>#N/A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5">
      <c r="A59" s="20"/>
      <c r="B59" s="21" t="e">
        <f>VLOOKUP(A59,Grupy!B:G,2,0)</f>
        <v>#N/A</v>
      </c>
      <c r="C59" s="22" t="e">
        <f>VLOOKUP(A59,Grupy!B:G,4,0)</f>
        <v>#N/A</v>
      </c>
      <c r="D59" s="21" t="e">
        <f>VLOOKUP(A59,Grupy!B:G,6,0)</f>
        <v>#N/A</v>
      </c>
      <c r="E59" s="20"/>
      <c r="F59" s="23" t="e">
        <f>VLOOKUP(E59,Platnosc!$B:$E,4,0)</f>
        <v>#N/A</v>
      </c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5">
      <c r="A60" s="28"/>
      <c r="B60" s="29" t="e">
        <f>VLOOKUP(A60,Grupy!B:G,2,0)</f>
        <v>#N/A</v>
      </c>
      <c r="C60" s="30" t="e">
        <f>VLOOKUP(A60,Grupy!B:G,4,0)</f>
        <v>#N/A</v>
      </c>
      <c r="D60" s="29" t="e">
        <f>VLOOKUP(A60,Grupy!B:G,6,0)</f>
        <v>#N/A</v>
      </c>
      <c r="E60" s="28"/>
      <c r="F60" s="27" t="e">
        <f>VLOOKUP(E60,Platnosc!$B:$E,4,0)</f>
        <v>#N/A</v>
      </c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</sheetData>
  <protectedRanges>
    <protectedRange password="C0A5" sqref="A1:F1048576" name="Range1"/>
  </protectedRanges>
  <conditionalFormatting sqref="G2:Z60">
    <cfRule type="expression" dxfId="26" priority="5">
      <formula>IF($F2&gt;=G$1,TRUE,)</formula>
    </cfRule>
  </conditionalFormatting>
  <conditionalFormatting sqref="A2:E60">
    <cfRule type="containsErrors" dxfId="25" priority="4">
      <formula>ISERROR(A2)</formula>
    </cfRule>
  </conditionalFormatting>
  <conditionalFormatting sqref="F2:F60">
    <cfRule type="containsErrors" dxfId="24" priority="3">
      <formula>ISERROR(F2)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359684A-95F3-4837-A907-2D6A89048C95}">
            <xm:f>IF($F2&lt;Platnosc!$I$1,TRUE,FALSE)</xm:f>
            <x14:dxf>
              <fill>
                <patternFill>
                  <bgColor rgb="FFFFC000"/>
                </patternFill>
              </fill>
            </x14:dxf>
          </x14:cfRule>
          <xm:sqref>F2:F60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8" tint="0.39997558519241921"/>
  </sheetPr>
  <dimension ref="A1:Z60"/>
  <sheetViews>
    <sheetView workbookViewId="0">
      <pane ySplit="1" topLeftCell="A2" activePane="bottomLeft" state="frozen"/>
      <selection pane="bottomLeft" activeCell="N41" sqref="N41"/>
    </sheetView>
  </sheetViews>
  <sheetFormatPr defaultColWidth="8.85546875" defaultRowHeight="15" x14ac:dyDescent="0.25"/>
  <cols>
    <col min="1" max="1" width="8.7109375" bestFit="1" customWidth="1"/>
    <col min="2" max="2" width="19.42578125" bestFit="1" customWidth="1"/>
    <col min="3" max="3" width="10.42578125" bestFit="1" customWidth="1"/>
    <col min="4" max="4" width="19.85546875" bestFit="1" customWidth="1"/>
    <col min="5" max="5" width="27.28515625" bestFit="1" customWidth="1"/>
    <col min="6" max="6" width="19.42578125" style="1" customWidth="1"/>
  </cols>
  <sheetData>
    <row r="1" spans="1:26" ht="13.5" customHeight="1" thickBot="1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41">
        <v>45141</v>
      </c>
      <c r="H1" s="42">
        <v>45148</v>
      </c>
      <c r="I1" s="41">
        <v>45155</v>
      </c>
      <c r="J1" s="41">
        <v>45162</v>
      </c>
      <c r="K1" s="42">
        <v>45169</v>
      </c>
      <c r="L1" s="41">
        <v>45176</v>
      </c>
      <c r="M1" s="41">
        <v>45183</v>
      </c>
      <c r="N1" s="42">
        <v>45190</v>
      </c>
      <c r="O1" s="41">
        <v>45197</v>
      </c>
      <c r="P1" s="41">
        <v>45204</v>
      </c>
      <c r="Q1" s="42">
        <v>45211</v>
      </c>
      <c r="R1" s="41">
        <v>45218</v>
      </c>
      <c r="S1" s="41">
        <v>45225</v>
      </c>
      <c r="T1" s="42">
        <v>45232</v>
      </c>
      <c r="U1" s="41">
        <v>45239</v>
      </c>
      <c r="V1" s="41">
        <v>45246</v>
      </c>
      <c r="W1" s="42">
        <v>45253</v>
      </c>
      <c r="X1" s="41">
        <v>45260</v>
      </c>
      <c r="Y1" s="41">
        <v>45267</v>
      </c>
      <c r="Z1" s="42">
        <v>45274</v>
      </c>
    </row>
    <row r="2" spans="1:26" x14ac:dyDescent="0.25">
      <c r="A2" s="16" t="s">
        <v>98</v>
      </c>
      <c r="B2" s="17" t="str">
        <f>VLOOKUP(A2,Grupy!B:G,2,0)</f>
        <v>KASIA PODSTAWA +</v>
      </c>
      <c r="C2" s="18">
        <f>VLOOKUP(A2,Grupy!B:G,4,0)</f>
        <v>0.72222222222222221</v>
      </c>
      <c r="D2" s="18" t="str">
        <f>VLOOKUP(A2,Grupy!B:G,6,0)</f>
        <v>Katarzyna Krześlak</v>
      </c>
      <c r="E2" s="16" t="s">
        <v>25</v>
      </c>
      <c r="F2" s="19">
        <f>VLOOKUP(E2,Platnosc!$B:$E,4,0)</f>
        <v>45190</v>
      </c>
      <c r="G2" s="13"/>
      <c r="H2" s="13"/>
      <c r="I2" s="13"/>
      <c r="J2" s="13"/>
      <c r="K2" s="13" t="s">
        <v>23</v>
      </c>
      <c r="L2" s="13" t="s">
        <v>99</v>
      </c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5">
      <c r="A3" s="20" t="s">
        <v>98</v>
      </c>
      <c r="B3" s="21" t="str">
        <f>VLOOKUP(A3,Grupy!B:G,2,0)</f>
        <v>KASIA PODSTAWA +</v>
      </c>
      <c r="C3" s="22">
        <f>VLOOKUP(A3,Grupy!B:G,4,0)</f>
        <v>0.72222222222222221</v>
      </c>
      <c r="D3" s="22" t="str">
        <f>VLOOKUP(A3,Grupy!B:G,6,0)</f>
        <v>Katarzyna Krześlak</v>
      </c>
      <c r="E3" s="20" t="s">
        <v>100</v>
      </c>
      <c r="F3" s="23">
        <f>VLOOKUP(E3,Platnosc!$B:$E,4,0)</f>
        <v>45069</v>
      </c>
      <c r="G3" s="13"/>
      <c r="H3" s="13"/>
      <c r="I3" s="13"/>
      <c r="J3" s="13"/>
      <c r="K3" s="13" t="s">
        <v>23</v>
      </c>
      <c r="L3" s="13" t="s">
        <v>99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5">
      <c r="A4" s="24" t="s">
        <v>98</v>
      </c>
      <c r="B4" s="25" t="str">
        <f>VLOOKUP(A4,Grupy!B:G,2,0)</f>
        <v>KASIA PODSTAWA +</v>
      </c>
      <c r="C4" s="26">
        <f>VLOOKUP(A4,Grupy!B:G,4,0)</f>
        <v>0.72222222222222221</v>
      </c>
      <c r="D4" s="26" t="str">
        <f>VLOOKUP(A4,Grupy!B:G,6,0)</f>
        <v>Katarzyna Krześlak</v>
      </c>
      <c r="E4" s="24" t="s">
        <v>101</v>
      </c>
      <c r="F4" s="27">
        <f>VLOOKUP(E4,Platnosc!$B:$E,4,0)</f>
        <v>45169</v>
      </c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5">
      <c r="A5" s="20" t="s">
        <v>98</v>
      </c>
      <c r="B5" s="21" t="str">
        <f>VLOOKUP(A5,Grupy!B:G,2,0)</f>
        <v>KASIA PODSTAWA +</v>
      </c>
      <c r="C5" s="22">
        <f>VLOOKUP(A5,Grupy!B:G,4,0)</f>
        <v>0.72222222222222221</v>
      </c>
      <c r="D5" s="22" t="str">
        <f>VLOOKUP(A5,Grupy!B:G,6,0)</f>
        <v>Katarzyna Krześlak</v>
      </c>
      <c r="E5" s="20" t="s">
        <v>102</v>
      </c>
      <c r="F5" s="23">
        <f>VLOOKUP(E5,Platnosc!$B:$E,4,0)</f>
        <v>45127</v>
      </c>
      <c r="G5" s="13"/>
      <c r="H5" s="13"/>
      <c r="I5" s="13"/>
      <c r="J5" s="13"/>
      <c r="K5" s="13" t="s">
        <v>23</v>
      </c>
      <c r="L5" s="13" t="s">
        <v>99</v>
      </c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5">
      <c r="A6" s="24" t="s">
        <v>98</v>
      </c>
      <c r="B6" s="25" t="str">
        <f>VLOOKUP(A6,Grupy!B:G,2,0)</f>
        <v>KASIA PODSTAWA +</v>
      </c>
      <c r="C6" s="26">
        <f>VLOOKUP(A6,Grupy!B:G,4,0)</f>
        <v>0.72222222222222221</v>
      </c>
      <c r="D6" s="26" t="str">
        <f>VLOOKUP(A6,Grupy!B:G,6,0)</f>
        <v>Katarzyna Krześlak</v>
      </c>
      <c r="E6" s="24" t="s">
        <v>103</v>
      </c>
      <c r="F6" s="27">
        <f>VLOOKUP(E6,Platnosc!$B:$E,4,0)</f>
        <v>45176</v>
      </c>
      <c r="G6" s="13"/>
      <c r="H6" s="13"/>
      <c r="I6" s="13"/>
      <c r="J6" s="13"/>
      <c r="K6" s="13" t="s">
        <v>23</v>
      </c>
      <c r="L6" s="13" t="s">
        <v>99</v>
      </c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5">
      <c r="A7" s="20" t="s">
        <v>98</v>
      </c>
      <c r="B7" s="21" t="str">
        <f>VLOOKUP(A7,Grupy!B:G,2,0)</f>
        <v>KASIA PODSTAWA +</v>
      </c>
      <c r="C7" s="22">
        <f>VLOOKUP(A7,Grupy!B:G,4,0)</f>
        <v>0.72222222222222221</v>
      </c>
      <c r="D7" s="22" t="str">
        <f>VLOOKUP(A7,Grupy!B:G,6,0)</f>
        <v>Katarzyna Krześlak</v>
      </c>
      <c r="E7" s="20" t="s">
        <v>104</v>
      </c>
      <c r="F7" s="23">
        <f>VLOOKUP(E7,Platnosc!$B:$E,4,0)</f>
        <v>45176</v>
      </c>
      <c r="G7" s="13"/>
      <c r="H7" s="13"/>
      <c r="I7" s="13"/>
      <c r="J7" s="13"/>
      <c r="K7" s="13" t="s">
        <v>23</v>
      </c>
      <c r="L7" s="13" t="s">
        <v>99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5">
      <c r="A8" s="24" t="s">
        <v>98</v>
      </c>
      <c r="B8" s="25" t="str">
        <f>VLOOKUP(A8,Grupy!B:G,2,0)</f>
        <v>KASIA PODSTAWA +</v>
      </c>
      <c r="C8" s="26">
        <f>VLOOKUP(A8,Grupy!B:G,4,0)</f>
        <v>0.72222222222222221</v>
      </c>
      <c r="D8" s="26" t="str">
        <f>VLOOKUP(A8,Grupy!B:G,6,0)</f>
        <v>Katarzyna Krześlak</v>
      </c>
      <c r="E8" s="24"/>
      <c r="F8" s="27" t="e">
        <f>VLOOKUP(E8,Platnosc!$B:$E,4,0)</f>
        <v>#N/A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A9" s="20" t="s">
        <v>98</v>
      </c>
      <c r="B9" s="21" t="str">
        <f>VLOOKUP(A9,Grupy!B:G,2,0)</f>
        <v>KASIA PODSTAWA +</v>
      </c>
      <c r="C9" s="22">
        <f>VLOOKUP(A9,Grupy!B:G,4,0)</f>
        <v>0.72222222222222221</v>
      </c>
      <c r="D9" s="22" t="str">
        <f>VLOOKUP(A9,Grupy!B:G,6,0)</f>
        <v>Katarzyna Krześlak</v>
      </c>
      <c r="E9" s="20"/>
      <c r="F9" s="27" t="e">
        <f>VLOOKUP(E9,Platnosc!$B:$E,4,0)</f>
        <v>#N/A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A10" s="24" t="s">
        <v>105</v>
      </c>
      <c r="B10" s="25" t="str">
        <f>VLOOKUP(A10,Grupy!B:G,2,0)</f>
        <v xml:space="preserve">KASIA ZERO </v>
      </c>
      <c r="C10" s="26">
        <f>VLOOKUP(A10,Grupy!B:G,4,0)</f>
        <v>0.76388888888888884</v>
      </c>
      <c r="D10" s="26" t="str">
        <f>VLOOKUP(A10,Grupy!B:G,6,0)</f>
        <v>Katarzyna Krześlak</v>
      </c>
      <c r="E10" s="24" t="s">
        <v>244</v>
      </c>
      <c r="F10" s="27">
        <f>VLOOKUP(E10,Platnosc!$B:$E,4,0)</f>
        <v>0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A11" s="20" t="s">
        <v>105</v>
      </c>
      <c r="B11" s="21" t="str">
        <f>VLOOKUP(A11,Grupy!B:G,2,0)</f>
        <v xml:space="preserve">KASIA ZERO </v>
      </c>
      <c r="C11" s="22">
        <f>VLOOKUP(A11,Grupy!B:G,4,0)</f>
        <v>0.76388888888888884</v>
      </c>
      <c r="D11" s="22" t="str">
        <f>VLOOKUP(A11,Grupy!B:G,6,0)</f>
        <v>Katarzyna Krześlak</v>
      </c>
      <c r="E11" s="20" t="s">
        <v>255</v>
      </c>
      <c r="F11" s="27" t="e">
        <f>VLOOKUP(E11,Platnosc!$B:$E,4,0)</f>
        <v>#N/A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A12" s="24" t="s">
        <v>105</v>
      </c>
      <c r="B12" s="25" t="str">
        <f>VLOOKUP(A12,Grupy!B:G,2,0)</f>
        <v xml:space="preserve">KASIA ZERO </v>
      </c>
      <c r="C12" s="26">
        <f>VLOOKUP(A12,Grupy!B:G,4,0)</f>
        <v>0.76388888888888884</v>
      </c>
      <c r="D12" s="26" t="str">
        <f>VLOOKUP(A12,Grupy!B:G,6,0)</f>
        <v>Katarzyna Krześlak</v>
      </c>
      <c r="E12" s="24" t="s">
        <v>256</v>
      </c>
      <c r="F12" s="27" t="e">
        <f>VLOOKUP(E12,Platnosc!$B:$E,4,0)</f>
        <v>#N/A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A13" s="20" t="s">
        <v>105</v>
      </c>
      <c r="B13" s="21" t="str">
        <f>VLOOKUP(A13,Grupy!B:G,2,0)</f>
        <v xml:space="preserve">KASIA ZERO </v>
      </c>
      <c r="C13" s="22">
        <f>VLOOKUP(A13,Grupy!B:G,4,0)</f>
        <v>0.76388888888888884</v>
      </c>
      <c r="D13" s="22" t="str">
        <f>VLOOKUP(A13,Grupy!B:G,6,0)</f>
        <v>Katarzyna Krześlak</v>
      </c>
      <c r="E13" s="20" t="s">
        <v>257</v>
      </c>
      <c r="F13" s="27" t="e">
        <f>VLOOKUP(E13,Platnosc!$B:$E,4,0)</f>
        <v>#N/A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A14" s="24" t="s">
        <v>105</v>
      </c>
      <c r="B14" s="25" t="str">
        <f>VLOOKUP(A14,Grupy!B:G,2,0)</f>
        <v xml:space="preserve">KASIA ZERO </v>
      </c>
      <c r="C14" s="26">
        <f>VLOOKUP(A14,Grupy!B:G,4,0)</f>
        <v>0.76388888888888884</v>
      </c>
      <c r="D14" s="26" t="str">
        <f>VLOOKUP(A14,Grupy!B:G,6,0)</f>
        <v>Katarzyna Krześlak</v>
      </c>
      <c r="E14" s="24" t="s">
        <v>101</v>
      </c>
      <c r="F14" s="27">
        <f>VLOOKUP(E14,Platnosc!$B:$E,4,0)</f>
        <v>45169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A15" s="20" t="s">
        <v>105</v>
      </c>
      <c r="B15" s="21" t="str">
        <f>VLOOKUP(A15,Grupy!B:G,2,0)</f>
        <v xml:space="preserve">KASIA ZERO </v>
      </c>
      <c r="C15" s="22">
        <f>VLOOKUP(A15,Grupy!B:G,4,0)</f>
        <v>0.76388888888888884</v>
      </c>
      <c r="D15" s="22" t="str">
        <f>VLOOKUP(A15,Grupy!B:G,6,0)</f>
        <v>Katarzyna Krześlak</v>
      </c>
      <c r="E15" s="20"/>
      <c r="F15" s="27" t="e">
        <f>VLOOKUP(E15,Platnosc!$B:$E,4,0)</f>
        <v>#N/A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A16" s="24" t="s">
        <v>105</v>
      </c>
      <c r="B16" s="25" t="str">
        <f>VLOOKUP(A16,Grupy!B:G,2,0)</f>
        <v xml:space="preserve">KASIA ZERO </v>
      </c>
      <c r="C16" s="26">
        <f>VLOOKUP(A16,Grupy!B:G,4,0)</f>
        <v>0.76388888888888884</v>
      </c>
      <c r="D16" s="26" t="str">
        <f>VLOOKUP(A16,Grupy!B:G,6,0)</f>
        <v>Katarzyna Krześlak</v>
      </c>
      <c r="E16" s="24"/>
      <c r="F16" s="27" t="e">
        <f>VLOOKUP(E16,Platnosc!$B:$E,4,0)</f>
        <v>#N/A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5">
      <c r="A17" s="20" t="s">
        <v>107</v>
      </c>
      <c r="B17" s="21" t="str">
        <f>VLOOKUP(A17,Grupy!B:G,2,0)</f>
        <v>KASIA PODSTAWA +2</v>
      </c>
      <c r="C17" s="22">
        <f>VLOOKUP(A17,Grupy!B:G,4,0)</f>
        <v>0.8125</v>
      </c>
      <c r="D17" s="22" t="str">
        <f>VLOOKUP(A17,Grupy!B:G,6,0)</f>
        <v>Katarzyna Krześlak</v>
      </c>
      <c r="E17" s="20" t="s">
        <v>108</v>
      </c>
      <c r="F17" s="27">
        <f>VLOOKUP(E17,Platnosc!$B:$E,4,0)</f>
        <v>45162</v>
      </c>
      <c r="G17" s="13"/>
      <c r="H17" s="13"/>
      <c r="I17" s="13"/>
      <c r="J17" s="13" t="s">
        <v>99</v>
      </c>
      <c r="K17" s="13" t="s">
        <v>23</v>
      </c>
      <c r="L17" s="13" t="s">
        <v>99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5">
      <c r="A18" s="24" t="s">
        <v>107</v>
      </c>
      <c r="B18" s="25" t="str">
        <f>VLOOKUP(A18,Grupy!B:G,2,0)</f>
        <v>KASIA PODSTAWA +2</v>
      </c>
      <c r="C18" s="26">
        <f>VLOOKUP(A18,Grupy!B:G,4,0)</f>
        <v>0.8125</v>
      </c>
      <c r="D18" s="26" t="str">
        <f>VLOOKUP(A18,Grupy!B:G,6,0)</f>
        <v>Katarzyna Krześlak</v>
      </c>
      <c r="E18" s="24" t="s">
        <v>109</v>
      </c>
      <c r="F18" s="27">
        <f>VLOOKUP(E18,Platnosc!$B:$E,4,0)</f>
        <v>45141</v>
      </c>
      <c r="G18" s="13"/>
      <c r="H18" s="13"/>
      <c r="I18" s="13"/>
      <c r="J18" s="13" t="s">
        <v>99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5">
      <c r="A19" s="20" t="s">
        <v>107</v>
      </c>
      <c r="B19" s="21" t="str">
        <f>VLOOKUP(A19,Grupy!B:G,2,0)</f>
        <v>KASIA PODSTAWA +2</v>
      </c>
      <c r="C19" s="22">
        <f>VLOOKUP(A19,Grupy!B:G,4,0)</f>
        <v>0.8125</v>
      </c>
      <c r="D19" s="22" t="str">
        <f>VLOOKUP(A19,Grupy!B:G,6,0)</f>
        <v>Katarzyna Krześlak</v>
      </c>
      <c r="E19" s="20" t="s">
        <v>110</v>
      </c>
      <c r="F19" s="27">
        <f>VLOOKUP(E19,Platnosc!$B:$E,4,0)</f>
        <v>45169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5">
      <c r="A20" s="24" t="s">
        <v>107</v>
      </c>
      <c r="B20" s="25" t="str">
        <f>VLOOKUP(A20,Grupy!B:G,2,0)</f>
        <v>KASIA PODSTAWA +2</v>
      </c>
      <c r="C20" s="26">
        <f>VLOOKUP(A20,Grupy!B:G,4,0)</f>
        <v>0.8125</v>
      </c>
      <c r="D20" s="26" t="str">
        <f>VLOOKUP(A20,Grupy!B:G,6,0)</f>
        <v>Katarzyna Krześlak</v>
      </c>
      <c r="E20" s="24" t="s">
        <v>111</v>
      </c>
      <c r="F20" s="27">
        <f>VLOOKUP(E20,Platnosc!$B:$E,4,0)</f>
        <v>45169</v>
      </c>
      <c r="G20" s="13"/>
      <c r="H20" s="13"/>
      <c r="I20" s="13"/>
      <c r="J20" s="13"/>
      <c r="K20" s="13"/>
      <c r="L20" s="13" t="s">
        <v>99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5">
      <c r="A21" s="20" t="s">
        <v>107</v>
      </c>
      <c r="B21" s="21" t="str">
        <f>VLOOKUP(A21,Grupy!B:G,2,0)</f>
        <v>KASIA PODSTAWA +2</v>
      </c>
      <c r="C21" s="22">
        <f>VLOOKUP(A21,Grupy!B:G,4,0)</f>
        <v>0.8125</v>
      </c>
      <c r="D21" s="22" t="str">
        <f>VLOOKUP(A21,Grupy!B:G,6,0)</f>
        <v>Katarzyna Krześlak</v>
      </c>
      <c r="E21" s="20" t="s">
        <v>112</v>
      </c>
      <c r="F21" s="27">
        <f>VLOOKUP(E21,Platnosc!$B:$E,4,0)</f>
        <v>45120</v>
      </c>
      <c r="G21" s="13"/>
      <c r="H21" s="13"/>
      <c r="I21" s="13"/>
      <c r="J21" s="13"/>
      <c r="K21" s="13" t="s">
        <v>23</v>
      </c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5">
      <c r="A22" s="24" t="s">
        <v>107</v>
      </c>
      <c r="B22" s="25" t="str">
        <f>VLOOKUP(A22,Grupy!B:G,2,0)</f>
        <v>KASIA PODSTAWA +2</v>
      </c>
      <c r="C22" s="26">
        <f>VLOOKUP(A22,Grupy!B:G,4,0)</f>
        <v>0.8125</v>
      </c>
      <c r="D22" s="26" t="str">
        <f>VLOOKUP(A22,Grupy!B:G,6,0)</f>
        <v>Katarzyna Krześlak</v>
      </c>
      <c r="E22" s="24" t="s">
        <v>224</v>
      </c>
      <c r="F22" s="27">
        <f>VLOOKUP(E22,Platnosc!$B:$E,4,0)</f>
        <v>45141</v>
      </c>
      <c r="G22" s="13"/>
      <c r="H22" s="13"/>
      <c r="I22" s="13"/>
      <c r="J22" s="13" t="s">
        <v>113</v>
      </c>
      <c r="K22" s="13" t="s">
        <v>23</v>
      </c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5">
      <c r="A23" s="20" t="s">
        <v>107</v>
      </c>
      <c r="B23" s="21" t="str">
        <f>VLOOKUP(A23,Grupy!B:G,2,0)</f>
        <v>KASIA PODSTAWA +2</v>
      </c>
      <c r="C23" s="22">
        <f>VLOOKUP(A23,Grupy!B:G,4,0)</f>
        <v>0.8125</v>
      </c>
      <c r="D23" s="22" t="str">
        <f>VLOOKUP(A23,Grupy!B:G,6,0)</f>
        <v>Katarzyna Krześlak</v>
      </c>
      <c r="E23" s="20"/>
      <c r="F23" s="27" t="e">
        <f>VLOOKUP(E23,Platnosc!$B:$E,4,0)</f>
        <v>#N/A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5">
      <c r="A24" s="24" t="s">
        <v>114</v>
      </c>
      <c r="B24" s="25" t="str">
        <f>VLOOKUP(A24,Grupy!B:G,2,0)</f>
        <v>ADA ZERO</v>
      </c>
      <c r="C24" s="26">
        <f>VLOOKUP(A24,Grupy!B:G,4,0)</f>
        <v>0.89583333333333337</v>
      </c>
      <c r="D24" s="26" t="str">
        <f>VLOOKUP(A24,Grupy!B:G,6,0)</f>
        <v>Adrianna Karczewska</v>
      </c>
      <c r="E24" s="24" t="s">
        <v>231</v>
      </c>
      <c r="F24" s="27">
        <f>VLOOKUP(E24,Platnosc!$B:$E,4,0)</f>
        <v>45176</v>
      </c>
      <c r="G24" s="13"/>
      <c r="H24" s="13"/>
      <c r="I24" s="13"/>
      <c r="J24" s="13" t="s">
        <v>23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5">
      <c r="A25" s="20" t="s">
        <v>114</v>
      </c>
      <c r="B25" s="21" t="str">
        <f>VLOOKUP(A25,Grupy!B:G,2,0)</f>
        <v>ADA ZERO</v>
      </c>
      <c r="C25" s="22">
        <f>VLOOKUP(A25,Grupy!B:G,4,0)</f>
        <v>0.89583333333333337</v>
      </c>
      <c r="D25" s="22" t="str">
        <f>VLOOKUP(A25,Grupy!B:G,6,0)</f>
        <v>Adrianna Karczewska</v>
      </c>
      <c r="E25" s="20" t="s">
        <v>232</v>
      </c>
      <c r="F25" s="27">
        <f>VLOOKUP(E25,Platnosc!$B:$E,4,0)</f>
        <v>45169</v>
      </c>
      <c r="G25" s="40"/>
      <c r="H25" s="13"/>
      <c r="I25" s="13"/>
      <c r="J25" s="13" t="s">
        <v>23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5">
      <c r="A26" s="24" t="s">
        <v>114</v>
      </c>
      <c r="B26" s="25" t="str">
        <f>VLOOKUP(A26,Grupy!B:G,2,0)</f>
        <v>ADA ZERO</v>
      </c>
      <c r="C26" s="26">
        <f>VLOOKUP(A26,Grupy!B:G,4,0)</f>
        <v>0.89583333333333337</v>
      </c>
      <c r="D26" s="26" t="str">
        <f>VLOOKUP(A26,Grupy!B:G,6,0)</f>
        <v>Adrianna Karczewska</v>
      </c>
      <c r="E26" s="24" t="s">
        <v>233</v>
      </c>
      <c r="F26" s="27">
        <f>VLOOKUP(E26,Platnosc!$B:$E,4,0)</f>
        <v>45176</v>
      </c>
      <c r="G26" s="40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5">
      <c r="A27" s="20" t="s">
        <v>114</v>
      </c>
      <c r="B27" s="21" t="str">
        <f>VLOOKUP(A27,Grupy!B:G,2,0)</f>
        <v>ADA ZERO</v>
      </c>
      <c r="C27" s="22">
        <f>VLOOKUP(A27,Grupy!B:G,4,0)</f>
        <v>0.89583333333333337</v>
      </c>
      <c r="D27" s="22" t="str">
        <f>VLOOKUP(A27,Grupy!B:G,6,0)</f>
        <v>Adrianna Karczewska</v>
      </c>
      <c r="E27" s="20" t="s">
        <v>234</v>
      </c>
      <c r="F27" s="27">
        <f>VLOOKUP(E27,Platnosc!$B:$E,4,0)</f>
        <v>45141</v>
      </c>
      <c r="G27" s="40"/>
      <c r="H27" s="13"/>
      <c r="I27" s="13" t="s">
        <v>99</v>
      </c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5">
      <c r="A28" s="25" t="s">
        <v>114</v>
      </c>
      <c r="B28" s="25" t="str">
        <f>VLOOKUP(A28,Grupy!B:G,2,0)</f>
        <v>ADA ZERO</v>
      </c>
      <c r="C28" s="26">
        <f>VLOOKUP(A28,Grupy!B:G,4,0)</f>
        <v>0.89583333333333337</v>
      </c>
      <c r="D28" s="26" t="str">
        <f>VLOOKUP(A28,Grupy!B:G,6,0)</f>
        <v>Adrianna Karczewska</v>
      </c>
      <c r="E28" s="24" t="s">
        <v>235</v>
      </c>
      <c r="F28" s="27">
        <f>VLOOKUP(E28,Platnosc!$B:$E,4,0)</f>
        <v>45197</v>
      </c>
      <c r="G28" s="40"/>
      <c r="H28" s="13"/>
      <c r="I28" s="13" t="s">
        <v>23</v>
      </c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5">
      <c r="A29" s="20" t="s">
        <v>114</v>
      </c>
      <c r="B29" s="21" t="str">
        <f>VLOOKUP(A29,Grupy!B:G,2,0)</f>
        <v>ADA ZERO</v>
      </c>
      <c r="C29" s="22">
        <f>VLOOKUP(A29,Grupy!B:G,4,0)</f>
        <v>0.89583333333333337</v>
      </c>
      <c r="D29" s="22" t="str">
        <f>VLOOKUP(A29,Grupy!B:G,6,0)</f>
        <v>Adrianna Karczewska</v>
      </c>
      <c r="E29" s="20"/>
      <c r="F29" s="27" t="e">
        <f>VLOOKUP(E29,Platnosc!$B:$E,4,0)</f>
        <v>#N/A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5">
      <c r="A30" s="24" t="s">
        <v>114</v>
      </c>
      <c r="B30" s="25" t="str">
        <f>VLOOKUP(A30,Grupy!B:G,2,0)</f>
        <v>ADA ZERO</v>
      </c>
      <c r="C30" s="26">
        <f>VLOOKUP(A30,Grupy!B:G,4,0)</f>
        <v>0.89583333333333337</v>
      </c>
      <c r="D30" s="26" t="str">
        <f>VLOOKUP(A30,Grupy!B:G,6,0)</f>
        <v>Adrianna Karczewska</v>
      </c>
      <c r="E30" s="24"/>
      <c r="F30" s="27" t="e">
        <f>VLOOKUP(E30,Platnosc!$B:$E,4,0)</f>
        <v>#N/A</v>
      </c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5">
      <c r="A31" s="20"/>
      <c r="B31" s="21" t="e">
        <f>VLOOKUP(A31,Grupy!B:G,2,0)</f>
        <v>#N/A</v>
      </c>
      <c r="C31" s="22" t="e">
        <f>VLOOKUP(A31,Grupy!B:G,4,0)</f>
        <v>#N/A</v>
      </c>
      <c r="D31" s="22" t="e">
        <f>VLOOKUP(A31,Grupy!B:G,6,0)</f>
        <v>#N/A</v>
      </c>
      <c r="E31" s="20"/>
      <c r="F31" s="27" t="e">
        <f>VLOOKUP(E31,Platnosc!$B:$E,4,0)</f>
        <v>#N/A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5">
      <c r="A32" s="24"/>
      <c r="B32" s="25" t="e">
        <f>VLOOKUP(A32,Grupy!B:G,2,0)</f>
        <v>#N/A</v>
      </c>
      <c r="C32" s="26" t="e">
        <f>VLOOKUP(A32,Grupy!B:G,4,0)</f>
        <v>#N/A</v>
      </c>
      <c r="D32" s="26" t="e">
        <f>VLOOKUP(A32,Grupy!B:G,6,0)</f>
        <v>#N/A</v>
      </c>
      <c r="E32" s="24"/>
      <c r="F32" s="27" t="e">
        <f>VLOOKUP(E32,Platnosc!$B:$E,4,0)</f>
        <v>#N/A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20"/>
      <c r="B33" s="21" t="e">
        <f>VLOOKUP(A33,Grupy!B:G,2,0)</f>
        <v>#N/A</v>
      </c>
      <c r="C33" s="22" t="e">
        <f>VLOOKUP(A33,Grupy!B:G,4,0)</f>
        <v>#N/A</v>
      </c>
      <c r="D33" s="22" t="e">
        <f>VLOOKUP(A33,Grupy!B:G,6,0)</f>
        <v>#N/A</v>
      </c>
      <c r="E33" s="20"/>
      <c r="F33" s="27" t="e">
        <f>VLOOKUP(E33,Platnosc!$B:$E,4,0)</f>
        <v>#N/A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24"/>
      <c r="B34" s="25" t="e">
        <f>VLOOKUP(A34,Grupy!B:G,2,0)</f>
        <v>#N/A</v>
      </c>
      <c r="C34" s="26" t="e">
        <f>VLOOKUP(A34,Grupy!B:G,4,0)</f>
        <v>#N/A</v>
      </c>
      <c r="D34" s="26" t="e">
        <f>VLOOKUP(A34,Grupy!B:G,6,0)</f>
        <v>#N/A</v>
      </c>
      <c r="E34" s="24"/>
      <c r="F34" s="27" t="e">
        <f>VLOOKUP(E34,Platnosc!$B:$E,4,0)</f>
        <v>#N/A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20"/>
      <c r="B35" s="21" t="e">
        <f>VLOOKUP(A35,Grupy!B:G,2,0)</f>
        <v>#N/A</v>
      </c>
      <c r="C35" s="22" t="e">
        <f>VLOOKUP(A35,Grupy!B:G,4,0)</f>
        <v>#N/A</v>
      </c>
      <c r="D35" s="22" t="e">
        <f>VLOOKUP(A35,Grupy!B:G,6,0)</f>
        <v>#N/A</v>
      </c>
      <c r="E35" s="20"/>
      <c r="F35" s="23" t="e">
        <f>VLOOKUP(E35,Platnosc!$B:$E,4,0)</f>
        <v>#N/A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24"/>
      <c r="B36" s="25" t="e">
        <f>VLOOKUP(A36,Grupy!B:G,2,0)</f>
        <v>#N/A</v>
      </c>
      <c r="C36" s="26" t="e">
        <f>VLOOKUP(A36,Grupy!B:G,4,0)</f>
        <v>#N/A</v>
      </c>
      <c r="D36" s="26" t="e">
        <f>VLOOKUP(A36,Grupy!B:G,6,0)</f>
        <v>#N/A</v>
      </c>
      <c r="E36" s="24"/>
      <c r="F36" s="27" t="e">
        <f>VLOOKUP(E36,Platnosc!$B:$E,4,0)</f>
        <v>#N/A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20"/>
      <c r="B37" s="21" t="e">
        <f>VLOOKUP(A37,Grupy!B:G,2,0)</f>
        <v>#N/A</v>
      </c>
      <c r="C37" s="22" t="e">
        <f>VLOOKUP(A37,Grupy!B:G,4,0)</f>
        <v>#N/A</v>
      </c>
      <c r="D37" s="22" t="e">
        <f>VLOOKUP(A37,Grupy!B:G,6,0)</f>
        <v>#N/A</v>
      </c>
      <c r="E37" s="20"/>
      <c r="F37" s="23" t="e">
        <f>VLOOKUP(E37,Platnosc!$B:$E,4,0)</f>
        <v>#N/A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24"/>
      <c r="B38" s="25" t="e">
        <f>VLOOKUP(A38,Grupy!B:G,2,0)</f>
        <v>#N/A</v>
      </c>
      <c r="C38" s="26" t="e">
        <f>VLOOKUP(A38,Grupy!B:G,4,0)</f>
        <v>#N/A</v>
      </c>
      <c r="D38" s="26" t="e">
        <f>VLOOKUP(A38,Grupy!B:G,6,0)</f>
        <v>#N/A</v>
      </c>
      <c r="E38" s="24"/>
      <c r="F38" s="27" t="e">
        <f>VLOOKUP(E38,Platnosc!$B:$E,4,0)</f>
        <v>#N/A</v>
      </c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20"/>
      <c r="B39" s="21" t="e">
        <f>VLOOKUP(A39,Grupy!B:G,2,0)</f>
        <v>#N/A</v>
      </c>
      <c r="C39" s="22" t="e">
        <f>VLOOKUP(A39,Grupy!B:G,4,0)</f>
        <v>#N/A</v>
      </c>
      <c r="D39" s="22" t="e">
        <f>VLOOKUP(A39,Grupy!B:G,6,0)</f>
        <v>#N/A</v>
      </c>
      <c r="E39" s="20"/>
      <c r="F39" s="23" t="e">
        <f>VLOOKUP(E39,Platnosc!$B:$E,4,0)</f>
        <v>#N/A</v>
      </c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24"/>
      <c r="B40" s="25" t="e">
        <f>VLOOKUP(A40,Grupy!B:G,2,0)</f>
        <v>#N/A</v>
      </c>
      <c r="C40" s="26" t="e">
        <f>VLOOKUP(A40,Grupy!B:G,4,0)</f>
        <v>#N/A</v>
      </c>
      <c r="D40" s="26" t="e">
        <f>VLOOKUP(A40,Grupy!B:G,6,0)</f>
        <v>#N/A</v>
      </c>
      <c r="E40" s="24"/>
      <c r="F40" s="27" t="e">
        <f>VLOOKUP(E40,Platnosc!$B:$E,4,0)</f>
        <v>#N/A</v>
      </c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20"/>
      <c r="B41" s="21" t="e">
        <f>VLOOKUP(A41,Grupy!B:G,2,0)</f>
        <v>#N/A</v>
      </c>
      <c r="C41" s="22" t="e">
        <f>VLOOKUP(A41,Grupy!B:G,4,0)</f>
        <v>#N/A</v>
      </c>
      <c r="D41" s="22" t="e">
        <f>VLOOKUP(A41,Grupy!B:G,6,0)</f>
        <v>#N/A</v>
      </c>
      <c r="E41" s="20"/>
      <c r="F41" s="23" t="e">
        <f>VLOOKUP(E41,Platnosc!$B:$E,4,0)</f>
        <v>#N/A</v>
      </c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24"/>
      <c r="B42" s="25" t="e">
        <f>VLOOKUP(A42,Grupy!B:G,2,0)</f>
        <v>#N/A</v>
      </c>
      <c r="C42" s="26" t="e">
        <f>VLOOKUP(A42,Grupy!B:G,4,0)</f>
        <v>#N/A</v>
      </c>
      <c r="D42" s="26" t="e">
        <f>VLOOKUP(A42,Grupy!B:G,6,0)</f>
        <v>#N/A</v>
      </c>
      <c r="E42" s="24"/>
      <c r="F42" s="27" t="e">
        <f>VLOOKUP(E42,Platnosc!$B:$E,4,0)</f>
        <v>#N/A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20"/>
      <c r="B43" s="21" t="e">
        <f>VLOOKUP(A43,Grupy!B:G,2,0)</f>
        <v>#N/A</v>
      </c>
      <c r="C43" s="22" t="e">
        <f>VLOOKUP(A43,Grupy!B:G,4,0)</f>
        <v>#N/A</v>
      </c>
      <c r="D43" s="22" t="e">
        <f>VLOOKUP(A43,Grupy!B:G,6,0)</f>
        <v>#N/A</v>
      </c>
      <c r="E43" s="20"/>
      <c r="F43" s="23" t="e">
        <f>VLOOKUP(E43,Platnosc!$B:$E,4,0)</f>
        <v>#N/A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24"/>
      <c r="B44" s="25" t="e">
        <f>VLOOKUP(A44,Grupy!B:G,2,0)</f>
        <v>#N/A</v>
      </c>
      <c r="C44" s="26" t="e">
        <f>VLOOKUP(A44,Grupy!B:G,4,0)</f>
        <v>#N/A</v>
      </c>
      <c r="D44" s="26" t="e">
        <f>VLOOKUP(A44,Grupy!B:G,6,0)</f>
        <v>#N/A</v>
      </c>
      <c r="E44" s="24"/>
      <c r="F44" s="27" t="e">
        <f>VLOOKUP(E44,Platnosc!$B:$E,4,0)</f>
        <v>#N/A</v>
      </c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20"/>
      <c r="B45" s="21" t="e">
        <f>VLOOKUP(A45,Grupy!B:G,2,0)</f>
        <v>#N/A</v>
      </c>
      <c r="C45" s="22" t="e">
        <f>VLOOKUP(A45,Grupy!B:G,4,0)</f>
        <v>#N/A</v>
      </c>
      <c r="D45" s="22" t="e">
        <f>VLOOKUP(A45,Grupy!B:G,6,0)</f>
        <v>#N/A</v>
      </c>
      <c r="E45" s="20"/>
      <c r="F45" s="23" t="e">
        <f>VLOOKUP(E45,Platnosc!$B:$E,4,0)</f>
        <v>#N/A</v>
      </c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24"/>
      <c r="B46" s="25" t="e">
        <f>VLOOKUP(A46,Grupy!B:G,2,0)</f>
        <v>#N/A</v>
      </c>
      <c r="C46" s="26" t="e">
        <f>VLOOKUP(A46,Grupy!B:G,4,0)</f>
        <v>#N/A</v>
      </c>
      <c r="D46" s="26" t="e">
        <f>VLOOKUP(A46,Grupy!B:G,6,0)</f>
        <v>#N/A</v>
      </c>
      <c r="E46" s="24"/>
      <c r="F46" s="27" t="e">
        <f>VLOOKUP(E46,Platnosc!$B:$E,4,0)</f>
        <v>#N/A</v>
      </c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20"/>
      <c r="B47" s="21" t="e">
        <f>VLOOKUP(A47,Grupy!B:G,2,0)</f>
        <v>#N/A</v>
      </c>
      <c r="C47" s="22" t="e">
        <f>VLOOKUP(A47,Grupy!B:G,4,0)</f>
        <v>#N/A</v>
      </c>
      <c r="D47" s="22" t="e">
        <f>VLOOKUP(A47,Grupy!B:G,6,0)</f>
        <v>#N/A</v>
      </c>
      <c r="E47" s="20"/>
      <c r="F47" s="23" t="e">
        <f>VLOOKUP(E47,Platnosc!$B:$E,4,0)</f>
        <v>#N/A</v>
      </c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24"/>
      <c r="B48" s="25" t="e">
        <f>VLOOKUP(A48,Grupy!B:G,2,0)</f>
        <v>#N/A</v>
      </c>
      <c r="C48" s="26" t="e">
        <f>VLOOKUP(A48,Grupy!B:G,4,0)</f>
        <v>#N/A</v>
      </c>
      <c r="D48" s="26" t="e">
        <f>VLOOKUP(A48,Grupy!B:G,6,0)</f>
        <v>#N/A</v>
      </c>
      <c r="E48" s="24"/>
      <c r="F48" s="27" t="e">
        <f>VLOOKUP(E48,Platnosc!$B:$E,4,0)</f>
        <v>#N/A</v>
      </c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20"/>
      <c r="B49" s="21" t="e">
        <f>VLOOKUP(A49,Grupy!B:G,2,0)</f>
        <v>#N/A</v>
      </c>
      <c r="C49" s="22" t="e">
        <f>VLOOKUP(A49,Grupy!B:G,4,0)</f>
        <v>#N/A</v>
      </c>
      <c r="D49" s="22" t="e">
        <f>VLOOKUP(A49,Grupy!B:G,6,0)</f>
        <v>#N/A</v>
      </c>
      <c r="E49" s="20"/>
      <c r="F49" s="23" t="e">
        <f>VLOOKUP(E49,Platnosc!$B:$E,4,0)</f>
        <v>#N/A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24"/>
      <c r="B50" s="25" t="e">
        <f>VLOOKUP(A50,Grupy!B:G,2,0)</f>
        <v>#N/A</v>
      </c>
      <c r="C50" s="26" t="e">
        <f>VLOOKUP(A50,Grupy!B:G,4,0)</f>
        <v>#N/A</v>
      </c>
      <c r="D50" s="26" t="e">
        <f>VLOOKUP(A50,Grupy!B:G,6,0)</f>
        <v>#N/A</v>
      </c>
      <c r="E50" s="24"/>
      <c r="F50" s="27" t="e">
        <f>VLOOKUP(E50,Platnosc!$B:$E,4,0)</f>
        <v>#N/A</v>
      </c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20"/>
      <c r="B51" s="21" t="e">
        <f>VLOOKUP(A51,Grupy!B:G,2,0)</f>
        <v>#N/A</v>
      </c>
      <c r="C51" s="22" t="e">
        <f>VLOOKUP(A51,Grupy!B:G,4,0)</f>
        <v>#N/A</v>
      </c>
      <c r="D51" s="22" t="e">
        <f>VLOOKUP(A51,Grupy!B:G,6,0)</f>
        <v>#N/A</v>
      </c>
      <c r="E51" s="20"/>
      <c r="F51" s="23" t="e">
        <f>VLOOKUP(E51,Platnosc!$B:$E,4,0)</f>
        <v>#N/A</v>
      </c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5">
      <c r="A52" s="24"/>
      <c r="B52" s="25" t="e">
        <f>VLOOKUP(A52,Grupy!B:G,2,0)</f>
        <v>#N/A</v>
      </c>
      <c r="C52" s="26" t="e">
        <f>VLOOKUP(A52,Grupy!B:G,4,0)</f>
        <v>#N/A</v>
      </c>
      <c r="D52" s="26" t="e">
        <f>VLOOKUP(A52,Grupy!B:G,6,0)</f>
        <v>#N/A</v>
      </c>
      <c r="E52" s="24"/>
      <c r="F52" s="27" t="e">
        <f>VLOOKUP(E52,Platnosc!$B:$E,4,0)</f>
        <v>#N/A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5">
      <c r="A53" s="20"/>
      <c r="B53" s="21" t="e">
        <f>VLOOKUP(A53,Grupy!B:G,2,0)</f>
        <v>#N/A</v>
      </c>
      <c r="C53" s="22" t="e">
        <f>VLOOKUP(A53,Grupy!B:G,4,0)</f>
        <v>#N/A</v>
      </c>
      <c r="D53" s="22" t="e">
        <f>VLOOKUP(A53,Grupy!B:G,6,0)</f>
        <v>#N/A</v>
      </c>
      <c r="E53" s="20"/>
      <c r="F53" s="23" t="e">
        <f>VLOOKUP(E53,Platnosc!$B:$E,4,0)</f>
        <v>#N/A</v>
      </c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5">
      <c r="A54" s="24"/>
      <c r="B54" s="25" t="e">
        <f>VLOOKUP(A54,Grupy!B:G,2,0)</f>
        <v>#N/A</v>
      </c>
      <c r="C54" s="26" t="e">
        <f>VLOOKUP(A54,Grupy!B:G,4,0)</f>
        <v>#N/A</v>
      </c>
      <c r="D54" s="26" t="e">
        <f>VLOOKUP(A54,Grupy!B:G,6,0)</f>
        <v>#N/A</v>
      </c>
      <c r="E54" s="24"/>
      <c r="F54" s="27" t="e">
        <f>VLOOKUP(E54,Platnosc!$B:$E,4,0)</f>
        <v>#N/A</v>
      </c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5">
      <c r="A55" s="20"/>
      <c r="B55" s="21" t="e">
        <f>VLOOKUP(A55,Grupy!B:G,2,0)</f>
        <v>#N/A</v>
      </c>
      <c r="C55" s="22" t="e">
        <f>VLOOKUP(A55,Grupy!B:G,4,0)</f>
        <v>#N/A</v>
      </c>
      <c r="D55" s="22" t="e">
        <f>VLOOKUP(A55,Grupy!B:G,6,0)</f>
        <v>#N/A</v>
      </c>
      <c r="E55" s="20"/>
      <c r="F55" s="23" t="e">
        <f>VLOOKUP(E55,Platnosc!$B:$E,4,0)</f>
        <v>#N/A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5">
      <c r="A56" s="24"/>
      <c r="B56" s="25" t="e">
        <f>VLOOKUP(A56,Grupy!B:G,2,0)</f>
        <v>#N/A</v>
      </c>
      <c r="C56" s="26" t="e">
        <f>VLOOKUP(A56,Grupy!B:G,4,0)</f>
        <v>#N/A</v>
      </c>
      <c r="D56" s="26" t="e">
        <f>VLOOKUP(A56,Grupy!B:G,6,0)</f>
        <v>#N/A</v>
      </c>
      <c r="E56" s="24"/>
      <c r="F56" s="27" t="e">
        <f>VLOOKUP(E56,Platnosc!$B:$E,4,0)</f>
        <v>#N/A</v>
      </c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5">
      <c r="A57" s="20"/>
      <c r="B57" s="21" t="e">
        <f>VLOOKUP(A57,Grupy!B:G,2,0)</f>
        <v>#N/A</v>
      </c>
      <c r="C57" s="22" t="e">
        <f>VLOOKUP(A57,Grupy!B:G,4,0)</f>
        <v>#N/A</v>
      </c>
      <c r="D57" s="22" t="e">
        <f>VLOOKUP(A57,Grupy!B:G,6,0)</f>
        <v>#N/A</v>
      </c>
      <c r="E57" s="20"/>
      <c r="F57" s="23" t="e">
        <f>VLOOKUP(E57,Platnosc!$B:$E,4,0)</f>
        <v>#N/A</v>
      </c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5">
      <c r="A58" s="24"/>
      <c r="B58" s="25" t="e">
        <f>VLOOKUP(A58,Grupy!B:G,2,0)</f>
        <v>#N/A</v>
      </c>
      <c r="C58" s="26" t="e">
        <f>VLOOKUP(A58,Grupy!B:G,4,0)</f>
        <v>#N/A</v>
      </c>
      <c r="D58" s="26" t="e">
        <f>VLOOKUP(A58,Grupy!B:G,6,0)</f>
        <v>#N/A</v>
      </c>
      <c r="E58" s="24"/>
      <c r="F58" s="27" t="e">
        <f>VLOOKUP(E58,Platnosc!$B:$E,4,0)</f>
        <v>#N/A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5">
      <c r="A59" s="20"/>
      <c r="B59" s="21" t="e">
        <f>VLOOKUP(A59,Grupy!B:G,2,0)</f>
        <v>#N/A</v>
      </c>
      <c r="C59" s="22" t="e">
        <f>VLOOKUP(A59,Grupy!B:G,4,0)</f>
        <v>#N/A</v>
      </c>
      <c r="D59" s="22" t="e">
        <f>VLOOKUP(A59,Grupy!B:G,6,0)</f>
        <v>#N/A</v>
      </c>
      <c r="E59" s="20"/>
      <c r="F59" s="23" t="e">
        <f>VLOOKUP(E59,Platnosc!$B:$E,4,0)</f>
        <v>#N/A</v>
      </c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5">
      <c r="A60" s="28"/>
      <c r="B60" s="25" t="e">
        <f>VLOOKUP(A60,Grupy!B:G,2,0)</f>
        <v>#N/A</v>
      </c>
      <c r="C60" s="26" t="e">
        <f>VLOOKUP(A60,Grupy!B:G,4,0)</f>
        <v>#N/A</v>
      </c>
      <c r="D60" s="26" t="e">
        <f>VLOOKUP(A60,Grupy!B:G,6,0)</f>
        <v>#N/A</v>
      </c>
      <c r="E60" s="28"/>
      <c r="F60" s="27" t="e">
        <f>VLOOKUP(E60,Platnosc!$B:$E,4,0)</f>
        <v>#N/A</v>
      </c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</sheetData>
  <protectedRanges>
    <protectedRange password="C0A5" sqref="A1:F1048576" name="Range1"/>
  </protectedRanges>
  <conditionalFormatting sqref="G2:Z60">
    <cfRule type="expression" dxfId="22" priority="5">
      <formula>IF($F2&gt;=G$1,TRUE,)</formula>
    </cfRule>
  </conditionalFormatting>
  <conditionalFormatting sqref="A2:F60">
    <cfRule type="containsErrors" dxfId="21" priority="4">
      <formula>ISERROR(A2)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8403F70-6621-46BF-8C45-62955121E719}">
            <xm:f>IF($F2&lt;Platnosc!$I$1,TRUE,FALSE)</xm:f>
            <x14:dxf>
              <fill>
                <patternFill>
                  <bgColor rgb="FFFFC000"/>
                </patternFill>
              </fill>
            </x14:dxf>
          </x14:cfRule>
          <xm:sqref>F2:F60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8" tint="0.59999389629810485"/>
  </sheetPr>
  <dimension ref="A1:Z60"/>
  <sheetViews>
    <sheetView workbookViewId="0">
      <pane ySplit="1" topLeftCell="A2" activePane="bottomLeft" state="frozen"/>
      <selection pane="bottomLeft" activeCell="F21" sqref="F21"/>
    </sheetView>
  </sheetViews>
  <sheetFormatPr defaultColWidth="8.85546875" defaultRowHeight="15" x14ac:dyDescent="0.25"/>
  <cols>
    <col min="1" max="1" width="8.7109375" bestFit="1" customWidth="1"/>
    <col min="2" max="2" width="21.42578125" bestFit="1" customWidth="1"/>
    <col min="3" max="3" width="10.42578125" bestFit="1" customWidth="1"/>
    <col min="4" max="4" width="19.85546875" bestFit="1" customWidth="1"/>
    <col min="5" max="5" width="27.28515625" bestFit="1" customWidth="1"/>
    <col min="6" max="6" width="19.42578125" style="1" customWidth="1"/>
  </cols>
  <sheetData>
    <row r="1" spans="1:26" ht="13.5" customHeight="1" thickBot="1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41">
        <v>45135</v>
      </c>
      <c r="H1" s="41">
        <v>45142</v>
      </c>
      <c r="I1" s="42">
        <v>45149</v>
      </c>
      <c r="J1" s="41">
        <v>45156</v>
      </c>
      <c r="K1" s="41">
        <v>45163</v>
      </c>
      <c r="L1" s="42">
        <v>45170</v>
      </c>
      <c r="M1" s="41">
        <v>45177</v>
      </c>
      <c r="N1" s="41">
        <v>45184</v>
      </c>
      <c r="O1" s="42">
        <v>45191</v>
      </c>
      <c r="P1" s="41">
        <v>45198</v>
      </c>
      <c r="Q1" s="41">
        <v>45205</v>
      </c>
      <c r="R1" s="42">
        <v>45212</v>
      </c>
      <c r="S1" s="41">
        <v>45219</v>
      </c>
      <c r="T1" s="41">
        <v>45226</v>
      </c>
      <c r="U1" s="42">
        <v>45233</v>
      </c>
      <c r="V1" s="41">
        <v>45240</v>
      </c>
      <c r="W1" s="41">
        <v>45247</v>
      </c>
      <c r="X1" s="42">
        <v>45254</v>
      </c>
      <c r="Y1" s="41">
        <v>45261</v>
      </c>
      <c r="Z1" s="41">
        <v>45268</v>
      </c>
    </row>
    <row r="2" spans="1:26" x14ac:dyDescent="0.25">
      <c r="A2" s="16" t="s">
        <v>115</v>
      </c>
      <c r="B2" s="17" t="str">
        <f>VLOOKUP(A2,Grupy!B:G,2,0)</f>
        <v>DOROTA ZERO</v>
      </c>
      <c r="C2" s="18">
        <f>VLOOKUP(A2,Grupy!B:G,4,0)</f>
        <v>0.72222222222222221</v>
      </c>
      <c r="D2" s="17" t="str">
        <f>VLOOKUP(A2,Grupy!B:G,6,0)</f>
        <v>Dorota Polna</v>
      </c>
      <c r="E2" s="16" t="s">
        <v>116</v>
      </c>
      <c r="F2" s="19">
        <f>VLOOKUP(E2,Platnosc!$B:$E,4,0)</f>
        <v>45184</v>
      </c>
      <c r="G2" s="13" t="s">
        <v>9</v>
      </c>
      <c r="H2" s="13" t="s">
        <v>9</v>
      </c>
      <c r="I2" s="13" t="s">
        <v>9</v>
      </c>
      <c r="J2" s="13"/>
      <c r="K2" s="13" t="s">
        <v>15</v>
      </c>
      <c r="L2" s="13" t="s">
        <v>117</v>
      </c>
      <c r="M2" s="13" t="s">
        <v>9</v>
      </c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5">
      <c r="A3" s="20" t="s">
        <v>115</v>
      </c>
      <c r="B3" s="21" t="str">
        <f>VLOOKUP(A3,Grupy!B:G,2,0)</f>
        <v>DOROTA ZERO</v>
      </c>
      <c r="C3" s="22">
        <f>VLOOKUP(A3,Grupy!B:G,4,0)</f>
        <v>0.72222222222222221</v>
      </c>
      <c r="D3" s="21" t="str">
        <f>VLOOKUP(A3,Grupy!B:G,6,0)</f>
        <v>Dorota Polna</v>
      </c>
      <c r="E3" s="20" t="s">
        <v>205</v>
      </c>
      <c r="F3" s="23">
        <f>VLOOKUP(E3,Platnosc!$B:$E,4,0)</f>
        <v>45191</v>
      </c>
      <c r="G3" s="13" t="s">
        <v>9</v>
      </c>
      <c r="H3" s="13" t="s">
        <v>9</v>
      </c>
      <c r="I3" s="13" t="s">
        <v>9</v>
      </c>
      <c r="J3" s="13" t="s">
        <v>9</v>
      </c>
      <c r="K3" s="13" t="s">
        <v>9</v>
      </c>
      <c r="L3" s="13"/>
      <c r="M3" s="13" t="s">
        <v>9</v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5">
      <c r="A4" s="24" t="s">
        <v>115</v>
      </c>
      <c r="B4" s="25" t="str">
        <f>VLOOKUP(A4,Grupy!B:G,2,0)</f>
        <v>DOROTA ZERO</v>
      </c>
      <c r="C4" s="26">
        <f>VLOOKUP(A4,Grupy!B:G,4,0)</f>
        <v>0.72222222222222221</v>
      </c>
      <c r="D4" s="25" t="str">
        <f>VLOOKUP(A4,Grupy!B:G,6,0)</f>
        <v>Dorota Polna</v>
      </c>
      <c r="E4" s="24" t="s">
        <v>206</v>
      </c>
      <c r="F4" s="27">
        <f>VLOOKUP(E4,Platnosc!$B:$E,4,0)</f>
        <v>45198</v>
      </c>
      <c r="G4" s="13" t="s">
        <v>13</v>
      </c>
      <c r="H4" s="13" t="s">
        <v>9</v>
      </c>
      <c r="I4" s="13" t="s">
        <v>9</v>
      </c>
      <c r="J4" s="13" t="s">
        <v>9</v>
      </c>
      <c r="K4" s="13" t="s">
        <v>9</v>
      </c>
      <c r="L4" s="13" t="s">
        <v>13</v>
      </c>
      <c r="M4" s="13" t="s">
        <v>9</v>
      </c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5">
      <c r="A5" s="20" t="s">
        <v>115</v>
      </c>
      <c r="B5" s="21" t="str">
        <f>VLOOKUP(A5,Grupy!B:G,2,0)</f>
        <v>DOROTA ZERO</v>
      </c>
      <c r="C5" s="22">
        <f>VLOOKUP(A5,Grupy!B:G,4,0)</f>
        <v>0.72222222222222221</v>
      </c>
      <c r="D5" s="21" t="str">
        <f>VLOOKUP(A5,Grupy!B:G,6,0)</f>
        <v>Dorota Polna</v>
      </c>
      <c r="E5" s="20" t="s">
        <v>213</v>
      </c>
      <c r="F5" s="23">
        <f>VLOOKUP(E5,Platnosc!$B:$E,4,0)</f>
        <v>45086</v>
      </c>
      <c r="G5" s="13" t="s">
        <v>9</v>
      </c>
      <c r="H5" s="13" t="s">
        <v>9</v>
      </c>
      <c r="I5" s="13" t="s">
        <v>9</v>
      </c>
      <c r="J5" s="13" t="s">
        <v>13</v>
      </c>
      <c r="K5" s="13" t="s">
        <v>15</v>
      </c>
      <c r="L5" s="13" t="s">
        <v>13</v>
      </c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5">
      <c r="A6" s="24" t="s">
        <v>115</v>
      </c>
      <c r="B6" s="25" t="str">
        <f>VLOOKUP(A6,Grupy!B:G,2,0)</f>
        <v>DOROTA ZERO</v>
      </c>
      <c r="C6" s="26">
        <f>VLOOKUP(A6,Grupy!B:G,4,0)</f>
        <v>0.72222222222222221</v>
      </c>
      <c r="D6" s="25" t="str">
        <f>VLOOKUP(A6,Grupy!B:G,6,0)</f>
        <v>Dorota Polna</v>
      </c>
      <c r="E6" s="24" t="s">
        <v>214</v>
      </c>
      <c r="F6" s="27">
        <f>VLOOKUP(E6,Platnosc!$B:$E,4,0)</f>
        <v>45184</v>
      </c>
      <c r="G6" s="13" t="s">
        <v>9</v>
      </c>
      <c r="H6" s="13" t="s">
        <v>9</v>
      </c>
      <c r="I6" s="13" t="s">
        <v>118</v>
      </c>
      <c r="J6" s="13" t="s">
        <v>9</v>
      </c>
      <c r="K6" s="13" t="s">
        <v>9</v>
      </c>
      <c r="L6" s="13" t="s">
        <v>119</v>
      </c>
      <c r="M6" s="13" t="s">
        <v>120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5">
      <c r="A7" s="20" t="s">
        <v>115</v>
      </c>
      <c r="B7" s="21" t="str">
        <f>VLOOKUP(A7,Grupy!B:G,2,0)</f>
        <v>DOROTA ZERO</v>
      </c>
      <c r="C7" s="22">
        <f>VLOOKUP(A7,Grupy!B:G,4,0)</f>
        <v>0.72222222222222221</v>
      </c>
      <c r="D7" s="21" t="str">
        <f>VLOOKUP(A7,Grupy!B:G,6,0)</f>
        <v>Dorota Polna</v>
      </c>
      <c r="E7" s="20" t="s">
        <v>225</v>
      </c>
      <c r="F7" s="23">
        <f>VLOOKUP(E7,Platnosc!$B:$E,4,0)</f>
        <v>45198</v>
      </c>
      <c r="G7" s="13" t="s">
        <v>118</v>
      </c>
      <c r="H7" s="13" t="s">
        <v>117</v>
      </c>
      <c r="I7" s="13"/>
      <c r="J7" s="13" t="s">
        <v>121</v>
      </c>
      <c r="K7" s="13" t="s">
        <v>122</v>
      </c>
      <c r="L7" s="13" t="s">
        <v>123</v>
      </c>
      <c r="M7" s="13" t="s">
        <v>9</v>
      </c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5">
      <c r="A8" s="24" t="s">
        <v>115</v>
      </c>
      <c r="B8" s="25" t="str">
        <f>VLOOKUP(A8,Grupy!B:G,2,0)</f>
        <v>DOROTA ZERO</v>
      </c>
      <c r="C8" s="26">
        <f>VLOOKUP(A8,Grupy!B:G,4,0)</f>
        <v>0.72222222222222221</v>
      </c>
      <c r="D8" s="25" t="str">
        <f>VLOOKUP(A8,Grupy!B:G,6,0)</f>
        <v>Dorota Polna</v>
      </c>
      <c r="E8" s="24"/>
      <c r="F8" s="27" t="e">
        <f>VLOOKUP(E8,Platnosc!$B:$E,4,0)</f>
        <v>#N/A</v>
      </c>
      <c r="G8" s="13"/>
      <c r="H8" s="13"/>
      <c r="I8" s="13"/>
      <c r="J8" s="13"/>
      <c r="K8" s="13"/>
      <c r="L8" s="13" t="s">
        <v>124</v>
      </c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A9" s="20" t="s">
        <v>125</v>
      </c>
      <c r="B9" s="21" t="str">
        <f>VLOOKUP(A9,Grupy!B:G,2,0)</f>
        <v>PAULINA PODSTAWA +</v>
      </c>
      <c r="C9" s="22">
        <f>VLOOKUP(A9,Grupy!B:G,4,0)</f>
        <v>0.77083333333333337</v>
      </c>
      <c r="D9" s="21" t="str">
        <f>VLOOKUP(A9,Grupy!B:G,6,0)</f>
        <v>Paulina Chrzanowska</v>
      </c>
      <c r="E9" s="20" t="s">
        <v>28</v>
      </c>
      <c r="F9" s="23">
        <f>VLOOKUP(E9,Platnosc!$B:$E,4,0)</f>
        <v>45187</v>
      </c>
      <c r="G9" s="13" t="s">
        <v>23</v>
      </c>
      <c r="H9" s="13" t="s">
        <v>13</v>
      </c>
      <c r="I9" s="13"/>
      <c r="J9" s="13" t="s">
        <v>23</v>
      </c>
      <c r="K9" s="13" t="s">
        <v>23</v>
      </c>
      <c r="L9" s="13" t="s">
        <v>23</v>
      </c>
      <c r="M9" s="13" t="s">
        <v>9</v>
      </c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A10" s="24" t="s">
        <v>125</v>
      </c>
      <c r="B10" s="25" t="str">
        <f>VLOOKUP(A10,Grupy!B:G,2,0)</f>
        <v>PAULINA PODSTAWA +</v>
      </c>
      <c r="C10" s="26">
        <f>VLOOKUP(A10,Grupy!B:G,4,0)</f>
        <v>0.77083333333333337</v>
      </c>
      <c r="D10" s="25" t="str">
        <f>VLOOKUP(A10,Grupy!B:G,6,0)</f>
        <v>Paulina Chrzanowska</v>
      </c>
      <c r="E10" s="24" t="s">
        <v>36</v>
      </c>
      <c r="F10" s="27">
        <f>VLOOKUP(E10,Platnosc!$B:$E,4,0)</f>
        <v>45181</v>
      </c>
      <c r="G10" s="13" t="s">
        <v>13</v>
      </c>
      <c r="H10" s="13" t="s">
        <v>13</v>
      </c>
      <c r="I10" s="13" t="s">
        <v>13</v>
      </c>
      <c r="J10" s="13" t="s">
        <v>13</v>
      </c>
      <c r="K10" s="13" t="s">
        <v>23</v>
      </c>
      <c r="L10" s="13" t="s">
        <v>23</v>
      </c>
      <c r="M10" s="13" t="s">
        <v>9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A11" s="20" t="s">
        <v>125</v>
      </c>
      <c r="B11" s="21" t="str">
        <f>VLOOKUP(A11,Grupy!B:G,2,0)</f>
        <v>PAULINA PODSTAWA +</v>
      </c>
      <c r="C11" s="22">
        <f>VLOOKUP(A11,Grupy!B:G,4,0)</f>
        <v>0.77083333333333337</v>
      </c>
      <c r="D11" s="21" t="str">
        <f>VLOOKUP(A11,Grupy!B:G,6,0)</f>
        <v>Paulina Chrzanowska</v>
      </c>
      <c r="E11" s="20" t="s">
        <v>126</v>
      </c>
      <c r="F11" s="23">
        <f>VLOOKUP(E11,Platnosc!$B:$E,4,0)</f>
        <v>45198</v>
      </c>
      <c r="G11" s="13" t="s">
        <v>23</v>
      </c>
      <c r="H11" s="13" t="s">
        <v>13</v>
      </c>
      <c r="I11" s="13" t="s">
        <v>23</v>
      </c>
      <c r="J11" s="13" t="s">
        <v>23</v>
      </c>
      <c r="K11" s="13" t="s">
        <v>13</v>
      </c>
      <c r="L11" s="13" t="s">
        <v>23</v>
      </c>
      <c r="M11" s="13" t="s">
        <v>13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A12" s="24" t="s">
        <v>125</v>
      </c>
      <c r="B12" s="25" t="str">
        <f>VLOOKUP(A12,Grupy!B:G,2,0)</f>
        <v>PAULINA PODSTAWA +</v>
      </c>
      <c r="C12" s="26">
        <f>VLOOKUP(A12,Grupy!B:G,4,0)</f>
        <v>0.77083333333333337</v>
      </c>
      <c r="D12" s="25" t="str">
        <f>VLOOKUP(A12,Grupy!B:G,6,0)</f>
        <v>Paulina Chrzanowska</v>
      </c>
      <c r="E12" s="24" t="s">
        <v>127</v>
      </c>
      <c r="F12" s="27">
        <f>VLOOKUP(E12,Platnosc!$B:$E,4,0)</f>
        <v>45177</v>
      </c>
      <c r="G12" s="13" t="s">
        <v>13</v>
      </c>
      <c r="H12" s="13" t="s">
        <v>23</v>
      </c>
      <c r="I12" s="13" t="s">
        <v>13</v>
      </c>
      <c r="J12" s="13" t="s">
        <v>23</v>
      </c>
      <c r="K12" s="13" t="s">
        <v>23</v>
      </c>
      <c r="L12" s="13" t="s">
        <v>23</v>
      </c>
      <c r="M12" s="13" t="s">
        <v>13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A13" s="20" t="s">
        <v>125</v>
      </c>
      <c r="B13" s="21" t="str">
        <f>VLOOKUP(A13,Grupy!B:G,2,0)</f>
        <v>PAULINA PODSTAWA +</v>
      </c>
      <c r="C13" s="22">
        <f>VLOOKUP(A13,Grupy!B:G,4,0)</f>
        <v>0.77083333333333337</v>
      </c>
      <c r="D13" s="21" t="str">
        <f>VLOOKUP(A13,Grupy!B:G,6,0)</f>
        <v>Paulina Chrzanowska</v>
      </c>
      <c r="E13" s="20" t="s">
        <v>128</v>
      </c>
      <c r="F13" s="23">
        <f>VLOOKUP(E13,Platnosc!$B:$E,4,0)</f>
        <v>45078</v>
      </c>
      <c r="G13" s="13"/>
      <c r="H13" s="13"/>
      <c r="I13" s="13"/>
      <c r="J13" s="13"/>
      <c r="K13" s="13"/>
      <c r="L13" s="13"/>
      <c r="M13" s="13" t="s">
        <v>13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A14" s="24" t="s">
        <v>125</v>
      </c>
      <c r="B14" s="25" t="str">
        <f>VLOOKUP(A14,Grupy!B:G,2,0)</f>
        <v>PAULINA PODSTAWA +</v>
      </c>
      <c r="C14" s="26">
        <f>VLOOKUP(A14,Grupy!B:G,4,0)</f>
        <v>0.77083333333333337</v>
      </c>
      <c r="D14" s="25" t="str">
        <f>VLOOKUP(A14,Grupy!B:G,6,0)</f>
        <v>Paulina Chrzanowska</v>
      </c>
      <c r="E14" s="24" t="s">
        <v>242</v>
      </c>
      <c r="F14" s="27">
        <f>VLOOKUP(E14,Platnosc!$B:$E,4,0)</f>
        <v>45156</v>
      </c>
      <c r="G14" s="13"/>
      <c r="H14" s="13" t="s">
        <v>23</v>
      </c>
      <c r="I14" s="13" t="s">
        <v>23</v>
      </c>
      <c r="J14" s="13" t="s">
        <v>23</v>
      </c>
      <c r="K14" s="13" t="s">
        <v>13</v>
      </c>
      <c r="L14" s="13" t="s">
        <v>13</v>
      </c>
      <c r="M14" s="13" t="s">
        <v>129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A15" s="20" t="s">
        <v>125</v>
      </c>
      <c r="B15" s="21" t="str">
        <f>VLOOKUP(A15,Grupy!B:G,2,0)</f>
        <v>PAULINA PODSTAWA +</v>
      </c>
      <c r="C15" s="22">
        <f>VLOOKUP(A15,Grupy!B:G,4,0)</f>
        <v>0.77083333333333337</v>
      </c>
      <c r="D15" s="21" t="str">
        <f>VLOOKUP(A15,Grupy!B:G,6,0)</f>
        <v>Paulina Chrzanowska</v>
      </c>
      <c r="E15" s="20"/>
      <c r="F15" s="23" t="e">
        <f>VLOOKUP(E15,Platnosc!$B:$E,4,0)</f>
        <v>#N/A</v>
      </c>
      <c r="G15" s="13"/>
      <c r="H15" s="13"/>
      <c r="I15" s="13"/>
      <c r="J15" s="13" t="s">
        <v>52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A16" s="24" t="s">
        <v>130</v>
      </c>
      <c r="B16" s="25" t="str">
        <f>VLOOKUP(A16,Grupy!B:G,2,0)</f>
        <v>PAULINA PODSTAWA +</v>
      </c>
      <c r="C16" s="26">
        <f>VLOOKUP(A16,Grupy!B:G,4,0)</f>
        <v>0.81944444444444453</v>
      </c>
      <c r="D16" s="25" t="str">
        <f>VLOOKUP(A16,Grupy!B:G,6,0)</f>
        <v>Paulina Chrzanowska</v>
      </c>
      <c r="E16" s="24" t="s">
        <v>37</v>
      </c>
      <c r="F16" s="27">
        <f>VLOOKUP(E16,Platnosc!$B:$E,4,0)</f>
        <v>45198</v>
      </c>
      <c r="G16" s="13" t="s">
        <v>13</v>
      </c>
      <c r="H16" s="13" t="s">
        <v>23</v>
      </c>
      <c r="I16" s="13" t="s">
        <v>23</v>
      </c>
      <c r="J16" s="13" t="s">
        <v>13</v>
      </c>
      <c r="K16" s="13" t="s">
        <v>23</v>
      </c>
      <c r="L16" s="13" t="s">
        <v>52</v>
      </c>
      <c r="M16" s="13" t="s">
        <v>9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5">
      <c r="A17" s="20" t="s">
        <v>130</v>
      </c>
      <c r="B17" s="21" t="str">
        <f>VLOOKUP(A17,Grupy!B:G,2,0)</f>
        <v>PAULINA PODSTAWA +</v>
      </c>
      <c r="C17" s="22">
        <f>VLOOKUP(A17,Grupy!B:G,4,0)</f>
        <v>0.81944444444444453</v>
      </c>
      <c r="D17" s="21" t="str">
        <f>VLOOKUP(A17,Grupy!B:G,6,0)</f>
        <v>Paulina Chrzanowska</v>
      </c>
      <c r="E17" s="20" t="s">
        <v>131</v>
      </c>
      <c r="F17" s="23">
        <f>VLOOKUP(E17,Platnosc!$B:$E,4,0)</f>
        <v>45174</v>
      </c>
      <c r="G17" s="13" t="s">
        <v>13</v>
      </c>
      <c r="H17" s="13" t="s">
        <v>23</v>
      </c>
      <c r="I17" s="13" t="s">
        <v>13</v>
      </c>
      <c r="J17" s="13" t="s">
        <v>23</v>
      </c>
      <c r="K17" s="13" t="s">
        <v>23</v>
      </c>
      <c r="L17" s="13" t="s">
        <v>23</v>
      </c>
      <c r="M17" s="13" t="s">
        <v>13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5">
      <c r="A18" s="24" t="s">
        <v>130</v>
      </c>
      <c r="B18" s="25" t="str">
        <f>VLOOKUP(A18,Grupy!B:G,2,0)</f>
        <v>PAULINA PODSTAWA +</v>
      </c>
      <c r="C18" s="26">
        <f>VLOOKUP(A18,Grupy!B:G,4,0)</f>
        <v>0.81944444444444453</v>
      </c>
      <c r="D18" s="25" t="str">
        <f>VLOOKUP(A18,Grupy!B:G,6,0)</f>
        <v>Paulina Chrzanowska</v>
      </c>
      <c r="E18" s="24" t="s">
        <v>127</v>
      </c>
      <c r="F18" s="27">
        <f>VLOOKUP(E18,Platnosc!$B:$E,4,0)</f>
        <v>45177</v>
      </c>
      <c r="G18" s="13" t="s">
        <v>23</v>
      </c>
      <c r="H18" s="13" t="s">
        <v>13</v>
      </c>
      <c r="I18" s="13" t="s">
        <v>13</v>
      </c>
      <c r="J18" s="13" t="s">
        <v>13</v>
      </c>
      <c r="K18" s="13" t="s">
        <v>13</v>
      </c>
      <c r="L18" s="13" t="s">
        <v>13</v>
      </c>
      <c r="M18" s="13" t="s">
        <v>9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5">
      <c r="A19" s="20" t="s">
        <v>130</v>
      </c>
      <c r="B19" s="21" t="str">
        <f>VLOOKUP(A19,Grupy!B:G,2,0)</f>
        <v>PAULINA PODSTAWA +</v>
      </c>
      <c r="C19" s="22">
        <f>VLOOKUP(A19,Grupy!B:G,4,0)</f>
        <v>0.81944444444444453</v>
      </c>
      <c r="D19" s="21" t="str">
        <f>VLOOKUP(A19,Grupy!B:G,6,0)</f>
        <v>Paulina Chrzanowska</v>
      </c>
      <c r="E19" s="20" t="s">
        <v>132</v>
      </c>
      <c r="F19" s="23">
        <f>VLOOKUP(E19,Platnosc!$B:$E,4,0)</f>
        <v>45198</v>
      </c>
      <c r="G19" s="13" t="s">
        <v>13</v>
      </c>
      <c r="H19" s="13" t="s">
        <v>23</v>
      </c>
      <c r="I19" s="13" t="s">
        <v>23</v>
      </c>
      <c r="J19" s="13" t="s">
        <v>23</v>
      </c>
      <c r="K19" s="13" t="s">
        <v>13</v>
      </c>
      <c r="L19" s="13" t="s">
        <v>13</v>
      </c>
      <c r="M19" s="13" t="s">
        <v>9</v>
      </c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5">
      <c r="A20" s="24" t="s">
        <v>130</v>
      </c>
      <c r="B20" s="25" t="str">
        <f>VLOOKUP(A20,Grupy!B:G,2,0)</f>
        <v>PAULINA PODSTAWA +</v>
      </c>
      <c r="C20" s="26">
        <f>VLOOKUP(A20,Grupy!B:G,4,0)</f>
        <v>0.81944444444444453</v>
      </c>
      <c r="D20" s="25" t="str">
        <f>VLOOKUP(A20,Grupy!B:G,6,0)</f>
        <v>Paulina Chrzanowska</v>
      </c>
      <c r="E20" s="24" t="s">
        <v>133</v>
      </c>
      <c r="F20" s="27">
        <f>VLOOKUP(E20,Platnosc!$B:$E,4,0)</f>
        <v>45198</v>
      </c>
      <c r="G20" s="13" t="s">
        <v>23</v>
      </c>
      <c r="H20" s="13" t="s">
        <v>13</v>
      </c>
      <c r="I20" s="13" t="s">
        <v>13</v>
      </c>
      <c r="J20" s="13" t="s">
        <v>13</v>
      </c>
      <c r="K20" s="13" t="s">
        <v>23</v>
      </c>
      <c r="L20" s="13" t="s">
        <v>134</v>
      </c>
      <c r="M20" s="13" t="s">
        <v>13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5">
      <c r="A21" s="20" t="s">
        <v>130</v>
      </c>
      <c r="B21" s="21" t="str">
        <f>VLOOKUP(A21,Grupy!B:G,2,0)</f>
        <v>PAULINA PODSTAWA +</v>
      </c>
      <c r="C21" s="22">
        <f>VLOOKUP(A21,Grupy!B:G,4,0)</f>
        <v>0.81944444444444453</v>
      </c>
      <c r="D21" s="21" t="str">
        <f>VLOOKUP(A21,Grupy!B:G,6,0)</f>
        <v>Paulina Chrzanowska</v>
      </c>
      <c r="E21" s="20" t="s">
        <v>135</v>
      </c>
      <c r="F21" s="23">
        <f>VLOOKUP(E21,Platnosc!$B:$E,4,0)</f>
        <v>45177</v>
      </c>
      <c r="G21" s="13" t="s">
        <v>23</v>
      </c>
      <c r="H21" s="13" t="s">
        <v>23</v>
      </c>
      <c r="I21" s="13" t="s">
        <v>23</v>
      </c>
      <c r="J21" s="13" t="s">
        <v>23</v>
      </c>
      <c r="K21" s="13" t="s">
        <v>23</v>
      </c>
      <c r="L21" s="13" t="s">
        <v>23</v>
      </c>
      <c r="M21" s="13" t="s">
        <v>9</v>
      </c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5">
      <c r="A22" s="24" t="s">
        <v>130</v>
      </c>
      <c r="B22" s="25" t="str">
        <f>VLOOKUP(A22,Grupy!B:G,2,0)</f>
        <v>PAULINA PODSTAWA +</v>
      </c>
      <c r="C22" s="26">
        <f>VLOOKUP(A22,Grupy!B:G,4,0)</f>
        <v>0.81944444444444453</v>
      </c>
      <c r="D22" s="25" t="str">
        <f>VLOOKUP(A22,Grupy!B:G,6,0)</f>
        <v>Paulina Chrzanowska</v>
      </c>
      <c r="E22" s="24" t="s">
        <v>136</v>
      </c>
      <c r="F22" s="27">
        <f>VLOOKUP(E22,Platnosc!$B:$E,4,0)</f>
        <v>45198</v>
      </c>
      <c r="G22" s="13" t="s">
        <v>23</v>
      </c>
      <c r="H22" s="13" t="s">
        <v>13</v>
      </c>
      <c r="I22" s="13" t="s">
        <v>23</v>
      </c>
      <c r="J22" s="13" t="s">
        <v>13</v>
      </c>
      <c r="K22" s="13" t="s">
        <v>13</v>
      </c>
      <c r="L22" s="13" t="s">
        <v>13</v>
      </c>
      <c r="M22" s="13" t="s">
        <v>9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5">
      <c r="A23" s="20"/>
      <c r="B23" s="21" t="e">
        <f>VLOOKUP(A23,Grupy!B:G,2,0)</f>
        <v>#N/A</v>
      </c>
      <c r="C23" s="22" t="e">
        <f>VLOOKUP(A23,Grupy!B:G,4,0)</f>
        <v>#N/A</v>
      </c>
      <c r="D23" s="21" t="e">
        <f>VLOOKUP(A23,Grupy!B:G,6,0)</f>
        <v>#N/A</v>
      </c>
      <c r="E23" s="20"/>
      <c r="F23" s="23" t="e">
        <f>VLOOKUP(E23,Platnosc!$B:$E,4,0)</f>
        <v>#N/A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5">
      <c r="A24" s="24"/>
      <c r="B24" s="25" t="e">
        <f>VLOOKUP(A24,Grupy!B:G,2,0)</f>
        <v>#N/A</v>
      </c>
      <c r="C24" s="26" t="e">
        <f>VLOOKUP(A24,Grupy!B:G,4,0)</f>
        <v>#N/A</v>
      </c>
      <c r="D24" s="25" t="e">
        <f>VLOOKUP(A24,Grupy!B:G,6,0)</f>
        <v>#N/A</v>
      </c>
      <c r="E24" s="24"/>
      <c r="F24" s="27" t="e">
        <f>VLOOKUP(E24,Platnosc!$B:$E,4,0)</f>
        <v>#N/A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5">
      <c r="A25" s="20"/>
      <c r="B25" s="21" t="e">
        <f>VLOOKUP(A25,Grupy!B:G,2,0)</f>
        <v>#N/A</v>
      </c>
      <c r="C25" s="22" t="e">
        <f>VLOOKUP(A25,Grupy!B:G,4,0)</f>
        <v>#N/A</v>
      </c>
      <c r="D25" s="21" t="e">
        <f>VLOOKUP(A25,Grupy!B:G,6,0)</f>
        <v>#N/A</v>
      </c>
      <c r="E25" s="20"/>
      <c r="F25" s="23" t="e">
        <f>VLOOKUP(E25,Platnosc!$B:$E,4,0)</f>
        <v>#N/A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5">
      <c r="A26" s="24"/>
      <c r="B26" s="25" t="e">
        <f>VLOOKUP(A26,Grupy!B:G,2,0)</f>
        <v>#N/A</v>
      </c>
      <c r="C26" s="26" t="e">
        <f>VLOOKUP(A26,Grupy!B:G,4,0)</f>
        <v>#N/A</v>
      </c>
      <c r="D26" s="25" t="e">
        <f>VLOOKUP(A26,Grupy!B:G,6,0)</f>
        <v>#N/A</v>
      </c>
      <c r="E26" s="24"/>
      <c r="F26" s="27" t="e">
        <f>VLOOKUP(E26,Platnosc!$B:$E,4,0)</f>
        <v>#N/A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5">
      <c r="A27" s="20"/>
      <c r="B27" s="21" t="e">
        <f>VLOOKUP(A27,Grupy!B:G,2,0)</f>
        <v>#N/A</v>
      </c>
      <c r="C27" s="22" t="e">
        <f>VLOOKUP(A27,Grupy!B:G,4,0)</f>
        <v>#N/A</v>
      </c>
      <c r="D27" s="21" t="e">
        <f>VLOOKUP(A27,Grupy!B:G,6,0)</f>
        <v>#N/A</v>
      </c>
      <c r="E27" s="20"/>
      <c r="F27" s="23" t="e">
        <f>VLOOKUP(E27,Platnosc!$B:$E,4,0)</f>
        <v>#N/A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5">
      <c r="A28" s="25"/>
      <c r="B28" s="25" t="e">
        <f>VLOOKUP(A28,Grupy!B:G,2,0)</f>
        <v>#N/A</v>
      </c>
      <c r="C28" s="26" t="e">
        <f>VLOOKUP(A28,Grupy!B:G,4,0)</f>
        <v>#N/A</v>
      </c>
      <c r="D28" s="25" t="e">
        <f>VLOOKUP(A28,Grupy!B:G,6,0)</f>
        <v>#N/A</v>
      </c>
      <c r="E28" s="24"/>
      <c r="F28" s="27" t="e">
        <f>VLOOKUP(E28,Platnosc!$B:$E,4,0)</f>
        <v>#N/A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5">
      <c r="A29" s="20"/>
      <c r="B29" s="21" t="e">
        <f>VLOOKUP(A29,Grupy!B:G,2,0)</f>
        <v>#N/A</v>
      </c>
      <c r="C29" s="22" t="e">
        <f>VLOOKUP(A29,Grupy!B:G,4,0)</f>
        <v>#N/A</v>
      </c>
      <c r="D29" s="21" t="e">
        <f>VLOOKUP(A29,Grupy!B:G,6,0)</f>
        <v>#N/A</v>
      </c>
      <c r="E29" s="20"/>
      <c r="F29" s="23" t="e">
        <f>VLOOKUP(E29,Platnosc!$B:$E,4,0)</f>
        <v>#N/A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5">
      <c r="A30" s="24"/>
      <c r="B30" s="25" t="e">
        <f>VLOOKUP(A30,Grupy!B:G,2,0)</f>
        <v>#N/A</v>
      </c>
      <c r="C30" s="26" t="e">
        <f>VLOOKUP(A30,Grupy!B:G,4,0)</f>
        <v>#N/A</v>
      </c>
      <c r="D30" s="25" t="e">
        <f>VLOOKUP(A30,Grupy!B:G,6,0)</f>
        <v>#N/A</v>
      </c>
      <c r="E30" s="24"/>
      <c r="F30" s="27" t="e">
        <f>VLOOKUP(E30,Platnosc!$B:$E,4,0)</f>
        <v>#N/A</v>
      </c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5">
      <c r="A31" s="20"/>
      <c r="B31" s="21" t="e">
        <f>VLOOKUP(A31,Grupy!B:G,2,0)</f>
        <v>#N/A</v>
      </c>
      <c r="C31" s="22" t="e">
        <f>VLOOKUP(A31,Grupy!B:G,4,0)</f>
        <v>#N/A</v>
      </c>
      <c r="D31" s="21" t="e">
        <f>VLOOKUP(A31,Grupy!B:G,6,0)</f>
        <v>#N/A</v>
      </c>
      <c r="E31" s="20"/>
      <c r="F31" s="23" t="e">
        <f>VLOOKUP(E31,Platnosc!$B:$E,4,0)</f>
        <v>#N/A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5">
      <c r="A32" s="24"/>
      <c r="B32" s="25" t="e">
        <f>VLOOKUP(A32,Grupy!B:G,2,0)</f>
        <v>#N/A</v>
      </c>
      <c r="C32" s="26" t="e">
        <f>VLOOKUP(A32,Grupy!B:G,4,0)</f>
        <v>#N/A</v>
      </c>
      <c r="D32" s="25" t="e">
        <f>VLOOKUP(A32,Grupy!B:G,6,0)</f>
        <v>#N/A</v>
      </c>
      <c r="E32" s="24"/>
      <c r="F32" s="27" t="e">
        <f>VLOOKUP(E32,Platnosc!$B:$E,4,0)</f>
        <v>#N/A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20"/>
      <c r="B33" s="21" t="e">
        <f>VLOOKUP(A33,Grupy!B:G,2,0)</f>
        <v>#N/A</v>
      </c>
      <c r="C33" s="22" t="e">
        <f>VLOOKUP(A33,Grupy!B:G,4,0)</f>
        <v>#N/A</v>
      </c>
      <c r="D33" s="21" t="e">
        <f>VLOOKUP(A33,Grupy!B:G,6,0)</f>
        <v>#N/A</v>
      </c>
      <c r="E33" s="20"/>
      <c r="F33" s="23" t="e">
        <f>VLOOKUP(E33,Platnosc!$B:$E,4,0)</f>
        <v>#N/A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24"/>
      <c r="B34" s="25" t="e">
        <f>VLOOKUP(A34,Grupy!B:G,2,0)</f>
        <v>#N/A</v>
      </c>
      <c r="C34" s="26" t="e">
        <f>VLOOKUP(A34,Grupy!B:G,4,0)</f>
        <v>#N/A</v>
      </c>
      <c r="D34" s="25" t="e">
        <f>VLOOKUP(A34,Grupy!B:G,6,0)</f>
        <v>#N/A</v>
      </c>
      <c r="E34" s="24"/>
      <c r="F34" s="27" t="e">
        <f>VLOOKUP(E34,Platnosc!$B:$E,4,0)</f>
        <v>#N/A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20"/>
      <c r="B35" s="21" t="e">
        <f>VLOOKUP(A35,Grupy!B:G,2,0)</f>
        <v>#N/A</v>
      </c>
      <c r="C35" s="22" t="e">
        <f>VLOOKUP(A35,Grupy!B:G,4,0)</f>
        <v>#N/A</v>
      </c>
      <c r="D35" s="21" t="e">
        <f>VLOOKUP(A35,Grupy!B:G,6,0)</f>
        <v>#N/A</v>
      </c>
      <c r="E35" s="20"/>
      <c r="F35" s="23" t="e">
        <f>VLOOKUP(E35,Platnosc!$B:$E,4,0)</f>
        <v>#N/A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24"/>
      <c r="B36" s="25" t="e">
        <f>VLOOKUP(A36,Grupy!B:G,2,0)</f>
        <v>#N/A</v>
      </c>
      <c r="C36" s="26" t="e">
        <f>VLOOKUP(A36,Grupy!B:G,4,0)</f>
        <v>#N/A</v>
      </c>
      <c r="D36" s="25" t="e">
        <f>VLOOKUP(A36,Grupy!B:G,6,0)</f>
        <v>#N/A</v>
      </c>
      <c r="E36" s="24"/>
      <c r="F36" s="27" t="e">
        <f>VLOOKUP(E36,Platnosc!$B:$E,4,0)</f>
        <v>#N/A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20"/>
      <c r="B37" s="21" t="e">
        <f>VLOOKUP(A37,Grupy!B:G,2,0)</f>
        <v>#N/A</v>
      </c>
      <c r="C37" s="22" t="e">
        <f>VLOOKUP(A37,Grupy!B:G,4,0)</f>
        <v>#N/A</v>
      </c>
      <c r="D37" s="21" t="e">
        <f>VLOOKUP(A37,Grupy!B:G,6,0)</f>
        <v>#N/A</v>
      </c>
      <c r="E37" s="20"/>
      <c r="F37" s="23" t="e">
        <f>VLOOKUP(E37,Platnosc!$B:$E,4,0)</f>
        <v>#N/A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24"/>
      <c r="B38" s="25" t="e">
        <f>VLOOKUP(A38,Grupy!B:G,2,0)</f>
        <v>#N/A</v>
      </c>
      <c r="C38" s="26" t="e">
        <f>VLOOKUP(A38,Grupy!B:G,4,0)</f>
        <v>#N/A</v>
      </c>
      <c r="D38" s="25" t="e">
        <f>VLOOKUP(A38,Grupy!B:G,6,0)</f>
        <v>#N/A</v>
      </c>
      <c r="E38" s="24"/>
      <c r="F38" s="27" t="e">
        <f>VLOOKUP(E38,Platnosc!$B:$E,4,0)</f>
        <v>#N/A</v>
      </c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20"/>
      <c r="B39" s="21" t="e">
        <f>VLOOKUP(A39,Grupy!B:G,2,0)</f>
        <v>#N/A</v>
      </c>
      <c r="C39" s="22" t="e">
        <f>VLOOKUP(A39,Grupy!B:G,4,0)</f>
        <v>#N/A</v>
      </c>
      <c r="D39" s="21" t="e">
        <f>VLOOKUP(A39,Grupy!B:G,6,0)</f>
        <v>#N/A</v>
      </c>
      <c r="E39" s="20"/>
      <c r="F39" s="23" t="e">
        <f>VLOOKUP(E39,Platnosc!$B:$E,4,0)</f>
        <v>#N/A</v>
      </c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24"/>
      <c r="B40" s="25" t="e">
        <f>VLOOKUP(A40,Grupy!B:G,2,0)</f>
        <v>#N/A</v>
      </c>
      <c r="C40" s="26" t="e">
        <f>VLOOKUP(A40,Grupy!B:G,4,0)</f>
        <v>#N/A</v>
      </c>
      <c r="D40" s="25" t="e">
        <f>VLOOKUP(A40,Grupy!B:G,6,0)</f>
        <v>#N/A</v>
      </c>
      <c r="E40" s="24"/>
      <c r="F40" s="27" t="e">
        <f>VLOOKUP(E40,Platnosc!$B:$E,4,0)</f>
        <v>#N/A</v>
      </c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20"/>
      <c r="B41" s="21" t="e">
        <f>VLOOKUP(A41,Grupy!B:G,2,0)</f>
        <v>#N/A</v>
      </c>
      <c r="C41" s="22" t="e">
        <f>VLOOKUP(A41,Grupy!B:G,4,0)</f>
        <v>#N/A</v>
      </c>
      <c r="D41" s="21" t="e">
        <f>VLOOKUP(A41,Grupy!B:G,6,0)</f>
        <v>#N/A</v>
      </c>
      <c r="E41" s="20"/>
      <c r="F41" s="23" t="e">
        <f>VLOOKUP(E41,Platnosc!$B:$E,4,0)</f>
        <v>#N/A</v>
      </c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24"/>
      <c r="B42" s="25" t="e">
        <f>VLOOKUP(A42,Grupy!B:G,2,0)</f>
        <v>#N/A</v>
      </c>
      <c r="C42" s="26" t="e">
        <f>VLOOKUP(A42,Grupy!B:G,4,0)</f>
        <v>#N/A</v>
      </c>
      <c r="D42" s="25" t="e">
        <f>VLOOKUP(A42,Grupy!B:G,6,0)</f>
        <v>#N/A</v>
      </c>
      <c r="E42" s="24"/>
      <c r="F42" s="27" t="e">
        <f>VLOOKUP(E42,Platnosc!$B:$E,4,0)</f>
        <v>#N/A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20"/>
      <c r="B43" s="21" t="e">
        <f>VLOOKUP(A43,Grupy!B:G,2,0)</f>
        <v>#N/A</v>
      </c>
      <c r="C43" s="22" t="e">
        <f>VLOOKUP(A43,Grupy!B:G,4,0)</f>
        <v>#N/A</v>
      </c>
      <c r="D43" s="21" t="e">
        <f>VLOOKUP(A43,Grupy!B:G,6,0)</f>
        <v>#N/A</v>
      </c>
      <c r="E43" s="20"/>
      <c r="F43" s="23" t="e">
        <f>VLOOKUP(E43,Platnosc!$B:$E,4,0)</f>
        <v>#N/A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24"/>
      <c r="B44" s="25" t="e">
        <f>VLOOKUP(A44,Grupy!B:G,2,0)</f>
        <v>#N/A</v>
      </c>
      <c r="C44" s="26" t="e">
        <f>VLOOKUP(A44,Grupy!B:G,4,0)</f>
        <v>#N/A</v>
      </c>
      <c r="D44" s="25" t="e">
        <f>VLOOKUP(A44,Grupy!B:G,6,0)</f>
        <v>#N/A</v>
      </c>
      <c r="E44" s="24"/>
      <c r="F44" s="27" t="e">
        <f>VLOOKUP(E44,Platnosc!$B:$E,4,0)</f>
        <v>#N/A</v>
      </c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20"/>
      <c r="B45" s="21" t="e">
        <f>VLOOKUP(A45,Grupy!B:G,2,0)</f>
        <v>#N/A</v>
      </c>
      <c r="C45" s="22" t="e">
        <f>VLOOKUP(A45,Grupy!B:G,4,0)</f>
        <v>#N/A</v>
      </c>
      <c r="D45" s="21" t="e">
        <f>VLOOKUP(A45,Grupy!B:G,6,0)</f>
        <v>#N/A</v>
      </c>
      <c r="E45" s="20"/>
      <c r="F45" s="23" t="e">
        <f>VLOOKUP(E45,Platnosc!$B:$E,4,0)</f>
        <v>#N/A</v>
      </c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24"/>
      <c r="B46" s="25" t="e">
        <f>VLOOKUP(A46,Grupy!B:G,2,0)</f>
        <v>#N/A</v>
      </c>
      <c r="C46" s="26" t="e">
        <f>VLOOKUP(A46,Grupy!B:G,4,0)</f>
        <v>#N/A</v>
      </c>
      <c r="D46" s="25" t="e">
        <f>VLOOKUP(A46,Grupy!B:G,6,0)</f>
        <v>#N/A</v>
      </c>
      <c r="E46" s="24"/>
      <c r="F46" s="27" t="e">
        <f>VLOOKUP(E46,Platnosc!$B:$E,4,0)</f>
        <v>#N/A</v>
      </c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20"/>
      <c r="B47" s="21" t="e">
        <f>VLOOKUP(A47,Grupy!B:G,2,0)</f>
        <v>#N/A</v>
      </c>
      <c r="C47" s="22" t="e">
        <f>VLOOKUP(A47,Grupy!B:G,4,0)</f>
        <v>#N/A</v>
      </c>
      <c r="D47" s="21" t="e">
        <f>VLOOKUP(A47,Grupy!B:G,6,0)</f>
        <v>#N/A</v>
      </c>
      <c r="E47" s="20"/>
      <c r="F47" s="23" t="e">
        <f>VLOOKUP(E47,Platnosc!$B:$E,4,0)</f>
        <v>#N/A</v>
      </c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24"/>
      <c r="B48" s="25" t="e">
        <f>VLOOKUP(A48,Grupy!B:G,2,0)</f>
        <v>#N/A</v>
      </c>
      <c r="C48" s="26" t="e">
        <f>VLOOKUP(A48,Grupy!B:G,4,0)</f>
        <v>#N/A</v>
      </c>
      <c r="D48" s="25" t="e">
        <f>VLOOKUP(A48,Grupy!B:G,6,0)</f>
        <v>#N/A</v>
      </c>
      <c r="E48" s="24"/>
      <c r="F48" s="27" t="e">
        <f>VLOOKUP(E48,Platnosc!$B:$E,4,0)</f>
        <v>#N/A</v>
      </c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20"/>
      <c r="B49" s="21" t="e">
        <f>VLOOKUP(A49,Grupy!B:G,2,0)</f>
        <v>#N/A</v>
      </c>
      <c r="C49" s="22" t="e">
        <f>VLOOKUP(A49,Grupy!B:G,4,0)</f>
        <v>#N/A</v>
      </c>
      <c r="D49" s="21" t="e">
        <f>VLOOKUP(A49,Grupy!B:G,6,0)</f>
        <v>#N/A</v>
      </c>
      <c r="E49" s="20"/>
      <c r="F49" s="23" t="e">
        <f>VLOOKUP(E49,Platnosc!$B:$E,4,0)</f>
        <v>#N/A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24"/>
      <c r="B50" s="25" t="e">
        <f>VLOOKUP(A50,Grupy!B:G,2,0)</f>
        <v>#N/A</v>
      </c>
      <c r="C50" s="26" t="e">
        <f>VLOOKUP(A50,Grupy!B:G,4,0)</f>
        <v>#N/A</v>
      </c>
      <c r="D50" s="25" t="e">
        <f>VLOOKUP(A50,Grupy!B:G,6,0)</f>
        <v>#N/A</v>
      </c>
      <c r="E50" s="24"/>
      <c r="F50" s="27" t="e">
        <f>VLOOKUP(E50,Platnosc!$B:$E,4,0)</f>
        <v>#N/A</v>
      </c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20"/>
      <c r="B51" s="21" t="e">
        <f>VLOOKUP(A51,Grupy!B:G,2,0)</f>
        <v>#N/A</v>
      </c>
      <c r="C51" s="22" t="e">
        <f>VLOOKUP(A51,Grupy!B:G,4,0)</f>
        <v>#N/A</v>
      </c>
      <c r="D51" s="21" t="e">
        <f>VLOOKUP(A51,Grupy!B:G,6,0)</f>
        <v>#N/A</v>
      </c>
      <c r="E51" s="20"/>
      <c r="F51" s="23" t="e">
        <f>VLOOKUP(E51,Platnosc!$B:$E,4,0)</f>
        <v>#N/A</v>
      </c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5">
      <c r="A52" s="24"/>
      <c r="B52" s="25" t="e">
        <f>VLOOKUP(A52,Grupy!B:G,2,0)</f>
        <v>#N/A</v>
      </c>
      <c r="C52" s="26" t="e">
        <f>VLOOKUP(A52,Grupy!B:G,4,0)</f>
        <v>#N/A</v>
      </c>
      <c r="D52" s="25" t="e">
        <f>VLOOKUP(A52,Grupy!B:G,6,0)</f>
        <v>#N/A</v>
      </c>
      <c r="E52" s="24"/>
      <c r="F52" s="27" t="e">
        <f>VLOOKUP(E52,Platnosc!$B:$E,4,0)</f>
        <v>#N/A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5">
      <c r="A53" s="20"/>
      <c r="B53" s="21" t="e">
        <f>VLOOKUP(A53,Grupy!B:G,2,0)</f>
        <v>#N/A</v>
      </c>
      <c r="C53" s="22" t="e">
        <f>VLOOKUP(A53,Grupy!B:G,4,0)</f>
        <v>#N/A</v>
      </c>
      <c r="D53" s="21" t="e">
        <f>VLOOKUP(A53,Grupy!B:G,6,0)</f>
        <v>#N/A</v>
      </c>
      <c r="E53" s="20"/>
      <c r="F53" s="23" t="e">
        <f>VLOOKUP(E53,Platnosc!$B:$E,4,0)</f>
        <v>#N/A</v>
      </c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5">
      <c r="A54" s="24"/>
      <c r="B54" s="25" t="e">
        <f>VLOOKUP(A54,Grupy!B:G,2,0)</f>
        <v>#N/A</v>
      </c>
      <c r="C54" s="26" t="e">
        <f>VLOOKUP(A54,Grupy!B:G,4,0)</f>
        <v>#N/A</v>
      </c>
      <c r="D54" s="25" t="e">
        <f>VLOOKUP(A54,Grupy!B:G,6,0)</f>
        <v>#N/A</v>
      </c>
      <c r="E54" s="24"/>
      <c r="F54" s="27" t="e">
        <f>VLOOKUP(E54,Platnosc!$B:$E,4,0)</f>
        <v>#N/A</v>
      </c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5">
      <c r="A55" s="20"/>
      <c r="B55" s="21" t="e">
        <f>VLOOKUP(A55,Grupy!B:G,2,0)</f>
        <v>#N/A</v>
      </c>
      <c r="C55" s="22" t="e">
        <f>VLOOKUP(A55,Grupy!B:G,4,0)</f>
        <v>#N/A</v>
      </c>
      <c r="D55" s="21" t="e">
        <f>VLOOKUP(A55,Grupy!B:G,6,0)</f>
        <v>#N/A</v>
      </c>
      <c r="E55" s="20"/>
      <c r="F55" s="23" t="e">
        <f>VLOOKUP(E55,Platnosc!$B:$E,4,0)</f>
        <v>#N/A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5">
      <c r="A56" s="24"/>
      <c r="B56" s="25" t="e">
        <f>VLOOKUP(A56,Grupy!B:G,2,0)</f>
        <v>#N/A</v>
      </c>
      <c r="C56" s="26" t="e">
        <f>VLOOKUP(A56,Grupy!B:G,4,0)</f>
        <v>#N/A</v>
      </c>
      <c r="D56" s="25" t="e">
        <f>VLOOKUP(A56,Grupy!B:G,6,0)</f>
        <v>#N/A</v>
      </c>
      <c r="E56" s="24"/>
      <c r="F56" s="27" t="e">
        <f>VLOOKUP(E56,Platnosc!$B:$E,4,0)</f>
        <v>#N/A</v>
      </c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5">
      <c r="A57" s="20"/>
      <c r="B57" s="21" t="e">
        <f>VLOOKUP(A57,Grupy!B:G,2,0)</f>
        <v>#N/A</v>
      </c>
      <c r="C57" s="22" t="e">
        <f>VLOOKUP(A57,Grupy!B:G,4,0)</f>
        <v>#N/A</v>
      </c>
      <c r="D57" s="21" t="e">
        <f>VLOOKUP(A57,Grupy!B:G,6,0)</f>
        <v>#N/A</v>
      </c>
      <c r="E57" s="20"/>
      <c r="F57" s="23" t="e">
        <f>VLOOKUP(E57,Platnosc!$B:$E,4,0)</f>
        <v>#N/A</v>
      </c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5">
      <c r="A58" s="24"/>
      <c r="B58" s="25" t="e">
        <f>VLOOKUP(A58,Grupy!B:G,2,0)</f>
        <v>#N/A</v>
      </c>
      <c r="C58" s="26" t="e">
        <f>VLOOKUP(A58,Grupy!B:G,4,0)</f>
        <v>#N/A</v>
      </c>
      <c r="D58" s="25" t="e">
        <f>VLOOKUP(A58,Grupy!B:G,6,0)</f>
        <v>#N/A</v>
      </c>
      <c r="E58" s="24"/>
      <c r="F58" s="27" t="e">
        <f>VLOOKUP(E58,Platnosc!$B:$E,4,0)</f>
        <v>#N/A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5">
      <c r="A59" s="20"/>
      <c r="B59" s="21" t="e">
        <f>VLOOKUP(A59,Grupy!B:G,2,0)</f>
        <v>#N/A</v>
      </c>
      <c r="C59" s="22" t="e">
        <f>VLOOKUP(A59,Grupy!B:G,4,0)</f>
        <v>#N/A</v>
      </c>
      <c r="D59" s="21" t="e">
        <f>VLOOKUP(A59,Grupy!B:G,6,0)</f>
        <v>#N/A</v>
      </c>
      <c r="E59" s="20"/>
      <c r="F59" s="23" t="e">
        <f>VLOOKUP(E59,Platnosc!$B:$E,4,0)</f>
        <v>#N/A</v>
      </c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5">
      <c r="A60" s="28"/>
      <c r="B60" s="29" t="e">
        <f>VLOOKUP(A60,Grupy!B:G,2,0)</f>
        <v>#N/A</v>
      </c>
      <c r="C60" s="30" t="e">
        <f>VLOOKUP(A60,Grupy!B:G,4,0)</f>
        <v>#N/A</v>
      </c>
      <c r="D60" s="29" t="e">
        <f>VLOOKUP(A60,Grupy!B:G,6,0)</f>
        <v>#N/A</v>
      </c>
      <c r="E60" s="28"/>
      <c r="F60" s="27" t="e">
        <f>VLOOKUP(E60,Platnosc!$B:$E,4,0)</f>
        <v>#N/A</v>
      </c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</sheetData>
  <protectedRanges>
    <protectedRange password="C0A5" sqref="A1:F1048576" name="Range1"/>
  </protectedRanges>
  <conditionalFormatting sqref="G2:Z60">
    <cfRule type="expression" dxfId="19" priority="4">
      <formula>IF($F2&gt;=G$1,TRUE,)</formula>
    </cfRule>
  </conditionalFormatting>
  <conditionalFormatting sqref="A2:E60">
    <cfRule type="containsErrors" dxfId="18" priority="3">
      <formula>ISERROR(A2)</formula>
    </cfRule>
  </conditionalFormatting>
  <conditionalFormatting sqref="F2:F60">
    <cfRule type="containsErrors" dxfId="17" priority="2">
      <formula>ISERROR(F2)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03C4F99-D8A0-489C-A264-4441E03E0641}">
            <xm:f>IF($F2&lt;Platnosc!$I$1,TRUE,FALSE)</xm:f>
            <x14:dxf>
              <fill>
                <patternFill>
                  <bgColor rgb="FFFFC000"/>
                </patternFill>
              </fill>
            </x14:dxf>
          </x14:cfRule>
          <xm:sqref>F2:F60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8" tint="0.79998168889431442"/>
  </sheetPr>
  <dimension ref="A1:Z60"/>
  <sheetViews>
    <sheetView workbookViewId="0">
      <pane ySplit="1" topLeftCell="A2" activePane="bottomLeft" state="frozen"/>
      <selection pane="bottomLeft" activeCell="N19" sqref="N19"/>
    </sheetView>
  </sheetViews>
  <sheetFormatPr defaultColWidth="8.85546875" defaultRowHeight="15" x14ac:dyDescent="0.25"/>
  <cols>
    <col min="1" max="1" width="8.7109375" bestFit="1" customWidth="1"/>
    <col min="2" max="2" width="21.140625" bestFit="1" customWidth="1"/>
    <col min="3" max="3" width="10.42578125" bestFit="1" customWidth="1"/>
    <col min="4" max="4" width="19.140625" bestFit="1" customWidth="1"/>
    <col min="5" max="5" width="22.7109375" bestFit="1" customWidth="1"/>
    <col min="6" max="6" width="19.42578125" style="1" customWidth="1"/>
  </cols>
  <sheetData>
    <row r="1" spans="1:26" ht="13.5" customHeight="1" thickBot="1" x14ac:dyDescent="0.3">
      <c r="A1" s="14"/>
      <c r="B1" s="14" t="s">
        <v>1</v>
      </c>
      <c r="C1" s="14" t="s">
        <v>2</v>
      </c>
      <c r="D1" s="14" t="s">
        <v>3</v>
      </c>
      <c r="E1" s="14"/>
      <c r="F1" s="15" t="s">
        <v>5</v>
      </c>
      <c r="G1" s="42">
        <v>45171</v>
      </c>
      <c r="H1" s="41">
        <v>45178</v>
      </c>
      <c r="I1" s="41">
        <v>45185</v>
      </c>
      <c r="J1" s="42">
        <v>45192</v>
      </c>
      <c r="K1" s="41">
        <v>45199</v>
      </c>
      <c r="L1" s="41">
        <v>45206</v>
      </c>
      <c r="M1" s="42">
        <v>45213</v>
      </c>
      <c r="N1" s="41">
        <v>45220</v>
      </c>
      <c r="O1" s="41">
        <v>45227</v>
      </c>
      <c r="P1" s="42">
        <v>45234</v>
      </c>
      <c r="Q1" s="41">
        <v>45241</v>
      </c>
      <c r="R1" s="41">
        <v>45248</v>
      </c>
      <c r="S1" s="42">
        <v>45255</v>
      </c>
      <c r="T1" s="41">
        <v>45262</v>
      </c>
      <c r="U1" s="41">
        <v>45269</v>
      </c>
      <c r="V1" s="42">
        <v>45276</v>
      </c>
      <c r="W1" s="41">
        <v>45283</v>
      </c>
      <c r="X1" s="41">
        <v>45290</v>
      </c>
      <c r="Y1" s="42">
        <v>45297</v>
      </c>
      <c r="Z1" s="41">
        <v>45304</v>
      </c>
    </row>
    <row r="2" spans="1:26" x14ac:dyDescent="0.25">
      <c r="A2" s="16"/>
      <c r="B2" s="17" t="e">
        <f>VLOOKUP(A2,Grupy!B:G,2,0)</f>
        <v>#N/A</v>
      </c>
      <c r="C2" s="18" t="e">
        <f>VLOOKUP(A2,Grupy!B:G,4,0)</f>
        <v>#N/A</v>
      </c>
      <c r="D2" s="17" t="e">
        <f>VLOOKUP(A2,Grupy!B:G,6,0)</f>
        <v>#N/A</v>
      </c>
      <c r="E2" s="16"/>
      <c r="F2" s="19" t="e">
        <f>VLOOKUP(E2,Platnosc!$B:$E,4,0)</f>
        <v>#N/A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5">
      <c r="A3" s="20"/>
      <c r="B3" s="21" t="e">
        <f>VLOOKUP(A3,Grupy!B:G,2,0)</f>
        <v>#N/A</v>
      </c>
      <c r="C3" s="22" t="e">
        <f>VLOOKUP(A3,Grupy!B:G,4,0)</f>
        <v>#N/A</v>
      </c>
      <c r="D3" s="21" t="e">
        <f>VLOOKUP(A3,Grupy!B:G,6,0)</f>
        <v>#N/A</v>
      </c>
      <c r="E3" s="20"/>
      <c r="F3" s="23" t="e">
        <f>VLOOKUP(E3,Platnosc!$B:$E,4,0)</f>
        <v>#N/A</v>
      </c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5">
      <c r="A4" s="24"/>
      <c r="B4" s="25" t="e">
        <f>VLOOKUP(A4,Grupy!B:G,2,0)</f>
        <v>#N/A</v>
      </c>
      <c r="C4" s="26" t="e">
        <f>VLOOKUP(A4,Grupy!B:G,4,0)</f>
        <v>#N/A</v>
      </c>
      <c r="D4" s="25" t="e">
        <f>VLOOKUP(A4,Grupy!B:G,6,0)</f>
        <v>#N/A</v>
      </c>
      <c r="E4" s="24"/>
      <c r="F4" s="27" t="e">
        <f>VLOOKUP(E4,Platnosc!$B:$E,4,0)</f>
        <v>#N/A</v>
      </c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5">
      <c r="A5" s="20"/>
      <c r="B5" s="21" t="e">
        <f>VLOOKUP(A5,Grupy!B:G,2,0)</f>
        <v>#N/A</v>
      </c>
      <c r="C5" s="22" t="e">
        <f>VLOOKUP(A5,Grupy!B:G,4,0)</f>
        <v>#N/A</v>
      </c>
      <c r="D5" s="21" t="e">
        <f>VLOOKUP(A5,Grupy!B:G,6,0)</f>
        <v>#N/A</v>
      </c>
      <c r="E5" s="20"/>
      <c r="F5" s="23" t="e">
        <f>VLOOKUP(E5,Platnosc!$B:$E,4,0)</f>
        <v>#N/A</v>
      </c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5">
      <c r="A6" s="24"/>
      <c r="B6" s="25" t="e">
        <f>VLOOKUP(A6,Grupy!B:G,2,0)</f>
        <v>#N/A</v>
      </c>
      <c r="C6" s="26" t="e">
        <f>VLOOKUP(A6,Grupy!B:G,4,0)</f>
        <v>#N/A</v>
      </c>
      <c r="D6" s="25" t="e">
        <f>VLOOKUP(A6,Grupy!B:G,6,0)</f>
        <v>#N/A</v>
      </c>
      <c r="E6" s="24"/>
      <c r="F6" s="27" t="e">
        <f>VLOOKUP(E6,Platnosc!$B:$E,4,0)</f>
        <v>#N/A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5">
      <c r="A7" s="20"/>
      <c r="B7" s="21" t="e">
        <f>VLOOKUP(A7,Grupy!B:G,2,0)</f>
        <v>#N/A</v>
      </c>
      <c r="C7" s="22" t="e">
        <f>VLOOKUP(A7,Grupy!B:G,4,0)</f>
        <v>#N/A</v>
      </c>
      <c r="D7" s="21" t="e">
        <f>VLOOKUP(A7,Grupy!B:G,6,0)</f>
        <v>#N/A</v>
      </c>
      <c r="E7" s="20"/>
      <c r="F7" s="23" t="e">
        <f>VLOOKUP(E7,Platnosc!$B:$E,4,0)</f>
        <v>#N/A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5">
      <c r="A8" s="24"/>
      <c r="B8" s="25" t="e">
        <f>VLOOKUP(A8,Grupy!B:G,2,0)</f>
        <v>#N/A</v>
      </c>
      <c r="C8" s="26" t="e">
        <f>VLOOKUP(A8,Grupy!B:G,4,0)</f>
        <v>#N/A</v>
      </c>
      <c r="D8" s="25" t="e">
        <f>VLOOKUP(A8,Grupy!B:G,6,0)</f>
        <v>#N/A</v>
      </c>
      <c r="E8" s="24"/>
      <c r="F8" s="27" t="e">
        <f>VLOOKUP(E8,Platnosc!$B:$E,4,0)</f>
        <v>#N/A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A9" s="20"/>
      <c r="B9" s="21" t="e">
        <f>VLOOKUP(A9,Grupy!B:G,2,0)</f>
        <v>#N/A</v>
      </c>
      <c r="C9" s="22" t="e">
        <f>VLOOKUP(A9,Grupy!B:G,4,0)</f>
        <v>#N/A</v>
      </c>
      <c r="D9" s="21" t="e">
        <f>VLOOKUP(A9,Grupy!B:G,6,0)</f>
        <v>#N/A</v>
      </c>
      <c r="E9" s="20"/>
      <c r="F9" s="23" t="e">
        <f>VLOOKUP(E9,Platnosc!$B:$E,4,0)</f>
        <v>#N/A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A10" s="24"/>
      <c r="B10" s="25" t="e">
        <f>VLOOKUP(A10,Grupy!B:G,2,0)</f>
        <v>#N/A</v>
      </c>
      <c r="C10" s="26" t="e">
        <f>VLOOKUP(A10,Grupy!B:G,4,0)</f>
        <v>#N/A</v>
      </c>
      <c r="D10" s="25" t="e">
        <f>VLOOKUP(A10,Grupy!B:G,6,0)</f>
        <v>#N/A</v>
      </c>
      <c r="E10" s="24"/>
      <c r="F10" s="27" t="e">
        <f>VLOOKUP(E10,Platnosc!$B:$E,4,0)</f>
        <v>#N/A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A11" s="20"/>
      <c r="B11" s="21" t="e">
        <f>VLOOKUP(A11,Grupy!B:G,2,0)</f>
        <v>#N/A</v>
      </c>
      <c r="C11" s="22" t="e">
        <f>VLOOKUP(A11,Grupy!B:G,4,0)</f>
        <v>#N/A</v>
      </c>
      <c r="D11" s="21" t="e">
        <f>VLOOKUP(A11,Grupy!B:G,6,0)</f>
        <v>#N/A</v>
      </c>
      <c r="E11" s="20"/>
      <c r="F11" s="23" t="e">
        <f>VLOOKUP(E11,Platnosc!$B:$E,4,0)</f>
        <v>#N/A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A12" s="24"/>
      <c r="B12" s="25" t="e">
        <f>VLOOKUP(A12,Grupy!B:G,2,0)</f>
        <v>#N/A</v>
      </c>
      <c r="C12" s="26" t="e">
        <f>VLOOKUP(A12,Grupy!B:G,4,0)</f>
        <v>#N/A</v>
      </c>
      <c r="D12" s="25" t="e">
        <f>VLOOKUP(A12,Grupy!B:G,6,0)</f>
        <v>#N/A</v>
      </c>
      <c r="E12" s="24"/>
      <c r="F12" s="27" t="e">
        <f>VLOOKUP(E12,Platnosc!$B:$E,4,0)</f>
        <v>#N/A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A13" s="20"/>
      <c r="B13" s="21" t="e">
        <f>VLOOKUP(A13,Grupy!B:G,2,0)</f>
        <v>#N/A</v>
      </c>
      <c r="C13" s="22" t="e">
        <f>VLOOKUP(A13,Grupy!B:G,4,0)</f>
        <v>#N/A</v>
      </c>
      <c r="D13" s="21" t="e">
        <f>VLOOKUP(A13,Grupy!B:G,6,0)</f>
        <v>#N/A</v>
      </c>
      <c r="E13" s="20"/>
      <c r="F13" s="23" t="e">
        <f>VLOOKUP(E13,Platnosc!$B:$E,4,0)</f>
        <v>#N/A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A14" s="24"/>
      <c r="B14" s="25" t="e">
        <f>VLOOKUP(A14,Grupy!B:G,2,0)</f>
        <v>#N/A</v>
      </c>
      <c r="C14" s="26" t="e">
        <f>VLOOKUP(A14,Grupy!B:G,4,0)</f>
        <v>#N/A</v>
      </c>
      <c r="D14" s="25" t="e">
        <f>VLOOKUP(A14,Grupy!B:G,6,0)</f>
        <v>#N/A</v>
      </c>
      <c r="E14" s="24"/>
      <c r="F14" s="27" t="e">
        <f>VLOOKUP(E14,Platnosc!$B:$E,4,0)</f>
        <v>#N/A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A15" s="20"/>
      <c r="B15" s="21" t="e">
        <f>VLOOKUP(A15,Grupy!B:G,2,0)</f>
        <v>#N/A</v>
      </c>
      <c r="C15" s="22" t="e">
        <f>VLOOKUP(A15,Grupy!B:G,4,0)</f>
        <v>#N/A</v>
      </c>
      <c r="D15" s="21" t="e">
        <f>VLOOKUP(A15,Grupy!B:G,6,0)</f>
        <v>#N/A</v>
      </c>
      <c r="E15" s="20"/>
      <c r="F15" s="23" t="e">
        <f>VLOOKUP(E15,Platnosc!$B:$E,4,0)</f>
        <v>#N/A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A16" s="24"/>
      <c r="B16" s="25" t="e">
        <f>VLOOKUP(A16,Grupy!B:G,2,0)</f>
        <v>#N/A</v>
      </c>
      <c r="C16" s="26" t="e">
        <f>VLOOKUP(A16,Grupy!B:G,4,0)</f>
        <v>#N/A</v>
      </c>
      <c r="D16" s="25" t="e">
        <f>VLOOKUP(A16,Grupy!B:G,6,0)</f>
        <v>#N/A</v>
      </c>
      <c r="E16" s="24"/>
      <c r="F16" s="27" t="e">
        <f>VLOOKUP(E16,Platnosc!$B:$E,4,0)</f>
        <v>#N/A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5">
      <c r="A17" s="20"/>
      <c r="B17" s="21" t="e">
        <f>VLOOKUP(A17,Grupy!B:G,2,0)</f>
        <v>#N/A</v>
      </c>
      <c r="C17" s="22" t="e">
        <f>VLOOKUP(A17,Grupy!B:G,4,0)</f>
        <v>#N/A</v>
      </c>
      <c r="D17" s="21" t="e">
        <f>VLOOKUP(A17,Grupy!B:G,6,0)</f>
        <v>#N/A</v>
      </c>
      <c r="E17" s="20"/>
      <c r="F17" s="23" t="e">
        <f>VLOOKUP(E17,Platnosc!$B:$E,4,0)</f>
        <v>#N/A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5">
      <c r="A18" s="24"/>
      <c r="B18" s="25" t="e">
        <f>VLOOKUP(A18,Grupy!B:G,2,0)</f>
        <v>#N/A</v>
      </c>
      <c r="C18" s="26" t="e">
        <f>VLOOKUP(A18,Grupy!B:G,4,0)</f>
        <v>#N/A</v>
      </c>
      <c r="D18" s="25" t="e">
        <f>VLOOKUP(A18,Grupy!B:G,6,0)</f>
        <v>#N/A</v>
      </c>
      <c r="E18" s="24"/>
      <c r="F18" s="27" t="e">
        <f>VLOOKUP(E18,Platnosc!$B:$E,4,0)</f>
        <v>#N/A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5">
      <c r="A19" s="20"/>
      <c r="B19" s="21" t="e">
        <f>VLOOKUP(A19,Grupy!B:G,2,0)</f>
        <v>#N/A</v>
      </c>
      <c r="C19" s="22" t="e">
        <f>VLOOKUP(A19,Grupy!B:G,4,0)</f>
        <v>#N/A</v>
      </c>
      <c r="D19" s="21" t="e">
        <f>VLOOKUP(A19,Grupy!B:G,6,0)</f>
        <v>#N/A</v>
      </c>
      <c r="E19" s="20"/>
      <c r="F19" s="23" t="e">
        <f>VLOOKUP(E19,Platnosc!$B:$E,4,0)</f>
        <v>#N/A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5">
      <c r="A20" s="24"/>
      <c r="B20" s="25" t="e">
        <f>VLOOKUP(A20,Grupy!B:G,2,0)</f>
        <v>#N/A</v>
      </c>
      <c r="C20" s="26" t="e">
        <f>VLOOKUP(A20,Grupy!B:G,4,0)</f>
        <v>#N/A</v>
      </c>
      <c r="D20" s="25" t="e">
        <f>VLOOKUP(A20,Grupy!B:G,6,0)</f>
        <v>#N/A</v>
      </c>
      <c r="E20" s="24"/>
      <c r="F20" s="27" t="e">
        <f>VLOOKUP(E20,Platnosc!$B:$E,4,0)</f>
        <v>#N/A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5">
      <c r="A21" s="20"/>
      <c r="B21" s="21" t="e">
        <f>VLOOKUP(A21,Grupy!B:G,2,0)</f>
        <v>#N/A</v>
      </c>
      <c r="C21" s="22" t="e">
        <f>VLOOKUP(A21,Grupy!B:G,4,0)</f>
        <v>#N/A</v>
      </c>
      <c r="D21" s="21" t="e">
        <f>VLOOKUP(A21,Grupy!B:G,6,0)</f>
        <v>#N/A</v>
      </c>
      <c r="E21" s="20"/>
      <c r="F21" s="23" t="e">
        <f>VLOOKUP(E21,Platnosc!$B:$E,4,0)</f>
        <v>#N/A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5">
      <c r="A22" s="24"/>
      <c r="B22" s="25" t="e">
        <f>VLOOKUP(A22,Grupy!B:G,2,0)</f>
        <v>#N/A</v>
      </c>
      <c r="C22" s="26" t="e">
        <f>VLOOKUP(A22,Grupy!B:G,4,0)</f>
        <v>#N/A</v>
      </c>
      <c r="D22" s="25" t="e">
        <f>VLOOKUP(A22,Grupy!B:G,6,0)</f>
        <v>#N/A</v>
      </c>
      <c r="E22" s="24"/>
      <c r="F22" s="27" t="e">
        <f>VLOOKUP(E22,Platnosc!$B:$E,4,0)</f>
        <v>#N/A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5">
      <c r="A23" s="20"/>
      <c r="B23" s="21" t="e">
        <f>VLOOKUP(A23,Grupy!B:G,2,0)</f>
        <v>#N/A</v>
      </c>
      <c r="C23" s="22" t="e">
        <f>VLOOKUP(A23,Grupy!B:G,4,0)</f>
        <v>#N/A</v>
      </c>
      <c r="D23" s="21" t="e">
        <f>VLOOKUP(A23,Grupy!B:G,6,0)</f>
        <v>#N/A</v>
      </c>
      <c r="E23" s="20"/>
      <c r="F23" s="23" t="e">
        <f>VLOOKUP(E23,Platnosc!$B:$E,4,0)</f>
        <v>#N/A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5">
      <c r="A24" s="24"/>
      <c r="B24" s="25" t="e">
        <f>VLOOKUP(A24,Grupy!B:G,2,0)</f>
        <v>#N/A</v>
      </c>
      <c r="C24" s="26" t="e">
        <f>VLOOKUP(A24,Grupy!B:G,4,0)</f>
        <v>#N/A</v>
      </c>
      <c r="D24" s="25" t="e">
        <f>VLOOKUP(A24,Grupy!B:G,6,0)</f>
        <v>#N/A</v>
      </c>
      <c r="E24" s="24"/>
      <c r="F24" s="27" t="e">
        <f>VLOOKUP(E24,Platnosc!$B:$E,4,0)</f>
        <v>#N/A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5">
      <c r="A25" s="20"/>
      <c r="B25" s="21" t="e">
        <f>VLOOKUP(A25,Grupy!B:G,2,0)</f>
        <v>#N/A</v>
      </c>
      <c r="C25" s="22" t="e">
        <f>VLOOKUP(A25,Grupy!B:G,4,0)</f>
        <v>#N/A</v>
      </c>
      <c r="D25" s="21" t="e">
        <f>VLOOKUP(A25,Grupy!B:G,6,0)</f>
        <v>#N/A</v>
      </c>
      <c r="E25" s="20"/>
      <c r="F25" s="23" t="e">
        <f>VLOOKUP(E25,Platnosc!$B:$E,4,0)</f>
        <v>#N/A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5">
      <c r="A26" s="24"/>
      <c r="B26" s="25" t="e">
        <f>VLOOKUP(A26,Grupy!B:G,2,0)</f>
        <v>#N/A</v>
      </c>
      <c r="C26" s="26" t="e">
        <f>VLOOKUP(A26,Grupy!B:G,4,0)</f>
        <v>#N/A</v>
      </c>
      <c r="D26" s="25" t="e">
        <f>VLOOKUP(A26,Grupy!B:G,6,0)</f>
        <v>#N/A</v>
      </c>
      <c r="E26" s="24"/>
      <c r="F26" s="27" t="e">
        <f>VLOOKUP(E26,Platnosc!$B:$E,4,0)</f>
        <v>#N/A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5">
      <c r="A27" s="20"/>
      <c r="B27" s="21" t="e">
        <f>VLOOKUP(A27,Grupy!B:G,2,0)</f>
        <v>#N/A</v>
      </c>
      <c r="C27" s="22" t="e">
        <f>VLOOKUP(A27,Grupy!B:G,4,0)</f>
        <v>#N/A</v>
      </c>
      <c r="D27" s="21" t="e">
        <f>VLOOKUP(A27,Grupy!B:G,6,0)</f>
        <v>#N/A</v>
      </c>
      <c r="E27" s="20"/>
      <c r="F27" s="23" t="e">
        <f>VLOOKUP(E27,Platnosc!$B:$E,4,0)</f>
        <v>#N/A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5">
      <c r="A28" s="25"/>
      <c r="B28" s="25" t="e">
        <f>VLOOKUP(A28,Grupy!B:G,2,0)</f>
        <v>#N/A</v>
      </c>
      <c r="C28" s="26" t="e">
        <f>VLOOKUP(A28,Grupy!B:G,4,0)</f>
        <v>#N/A</v>
      </c>
      <c r="D28" s="25" t="e">
        <f>VLOOKUP(A28,Grupy!B:G,6,0)</f>
        <v>#N/A</v>
      </c>
      <c r="E28" s="24"/>
      <c r="F28" s="27" t="e">
        <f>VLOOKUP(E28,Platnosc!$B:$E,4,0)</f>
        <v>#N/A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5">
      <c r="A29" s="20"/>
      <c r="B29" s="21" t="e">
        <f>VLOOKUP(A29,Grupy!B:G,2,0)</f>
        <v>#N/A</v>
      </c>
      <c r="C29" s="22" t="e">
        <f>VLOOKUP(A29,Grupy!B:G,4,0)</f>
        <v>#N/A</v>
      </c>
      <c r="D29" s="21" t="e">
        <f>VLOOKUP(A29,Grupy!B:G,6,0)</f>
        <v>#N/A</v>
      </c>
      <c r="E29" s="20"/>
      <c r="F29" s="23" t="e">
        <f>VLOOKUP(E29,Platnosc!$B:$E,4,0)</f>
        <v>#N/A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5">
      <c r="A30" s="24"/>
      <c r="B30" s="25" t="e">
        <f>VLOOKUP(A30,Grupy!B:G,2,0)</f>
        <v>#N/A</v>
      </c>
      <c r="C30" s="26" t="e">
        <f>VLOOKUP(A30,Grupy!B:G,4,0)</f>
        <v>#N/A</v>
      </c>
      <c r="D30" s="25" t="e">
        <f>VLOOKUP(A30,Grupy!B:G,6,0)</f>
        <v>#N/A</v>
      </c>
      <c r="E30" s="24"/>
      <c r="F30" s="27" t="e">
        <f>VLOOKUP(E30,Platnosc!$B:$E,4,0)</f>
        <v>#N/A</v>
      </c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5">
      <c r="A31" s="20"/>
      <c r="B31" s="21" t="e">
        <f>VLOOKUP(A31,Grupy!B:G,2,0)</f>
        <v>#N/A</v>
      </c>
      <c r="C31" s="22" t="e">
        <f>VLOOKUP(A31,Grupy!B:G,4,0)</f>
        <v>#N/A</v>
      </c>
      <c r="D31" s="21" t="e">
        <f>VLOOKUP(A31,Grupy!B:G,6,0)</f>
        <v>#N/A</v>
      </c>
      <c r="E31" s="20"/>
      <c r="F31" s="23" t="e">
        <f>VLOOKUP(E31,Platnosc!$B:$E,4,0)</f>
        <v>#N/A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5">
      <c r="A32" s="24"/>
      <c r="B32" s="25" t="e">
        <f>VLOOKUP(A32,Grupy!B:G,2,0)</f>
        <v>#N/A</v>
      </c>
      <c r="C32" s="26" t="e">
        <f>VLOOKUP(A32,Grupy!B:G,4,0)</f>
        <v>#N/A</v>
      </c>
      <c r="D32" s="25" t="e">
        <f>VLOOKUP(A32,Grupy!B:G,6,0)</f>
        <v>#N/A</v>
      </c>
      <c r="E32" s="24"/>
      <c r="F32" s="27" t="e">
        <f>VLOOKUP(E32,Platnosc!$B:$E,4,0)</f>
        <v>#N/A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20"/>
      <c r="B33" s="21" t="e">
        <f>VLOOKUP(A33,Grupy!B:G,2,0)</f>
        <v>#N/A</v>
      </c>
      <c r="C33" s="22" t="e">
        <f>VLOOKUP(A33,Grupy!B:G,4,0)</f>
        <v>#N/A</v>
      </c>
      <c r="D33" s="21" t="e">
        <f>VLOOKUP(A33,Grupy!B:G,6,0)</f>
        <v>#N/A</v>
      </c>
      <c r="E33" s="20"/>
      <c r="F33" s="23" t="e">
        <f>VLOOKUP(E33,Platnosc!$B:$E,4,0)</f>
        <v>#N/A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24"/>
      <c r="B34" s="25" t="e">
        <f>VLOOKUP(A34,Grupy!B:G,2,0)</f>
        <v>#N/A</v>
      </c>
      <c r="C34" s="26" t="e">
        <f>VLOOKUP(A34,Grupy!B:G,4,0)</f>
        <v>#N/A</v>
      </c>
      <c r="D34" s="25" t="e">
        <f>VLOOKUP(A34,Grupy!B:G,6,0)</f>
        <v>#N/A</v>
      </c>
      <c r="E34" s="24"/>
      <c r="F34" s="27" t="e">
        <f>VLOOKUP(E34,Platnosc!$B:$E,4,0)</f>
        <v>#N/A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20"/>
      <c r="B35" s="21" t="e">
        <f>VLOOKUP(A35,Grupy!B:G,2,0)</f>
        <v>#N/A</v>
      </c>
      <c r="C35" s="22" t="e">
        <f>VLOOKUP(A35,Grupy!B:G,4,0)</f>
        <v>#N/A</v>
      </c>
      <c r="D35" s="21" t="e">
        <f>VLOOKUP(A35,Grupy!B:G,6,0)</f>
        <v>#N/A</v>
      </c>
      <c r="E35" s="20"/>
      <c r="F35" s="23" t="e">
        <f>VLOOKUP(E35,Platnosc!$B:$E,4,0)</f>
        <v>#N/A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24"/>
      <c r="B36" s="25" t="e">
        <f>VLOOKUP(A36,Grupy!B:G,2,0)</f>
        <v>#N/A</v>
      </c>
      <c r="C36" s="26" t="e">
        <f>VLOOKUP(A36,Grupy!B:G,4,0)</f>
        <v>#N/A</v>
      </c>
      <c r="D36" s="25" t="e">
        <f>VLOOKUP(A36,Grupy!B:G,6,0)</f>
        <v>#N/A</v>
      </c>
      <c r="E36" s="24"/>
      <c r="F36" s="27" t="e">
        <f>VLOOKUP(E36,Platnosc!$B:$E,4,0)</f>
        <v>#N/A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20"/>
      <c r="B37" s="21" t="e">
        <f>VLOOKUP(A37,Grupy!B:G,2,0)</f>
        <v>#N/A</v>
      </c>
      <c r="C37" s="22" t="e">
        <f>VLOOKUP(A37,Grupy!B:G,4,0)</f>
        <v>#N/A</v>
      </c>
      <c r="D37" s="21" t="e">
        <f>VLOOKUP(A37,Grupy!B:G,6,0)</f>
        <v>#N/A</v>
      </c>
      <c r="E37" s="20"/>
      <c r="F37" s="23" t="e">
        <f>VLOOKUP(E37,Platnosc!$B:$E,4,0)</f>
        <v>#N/A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24"/>
      <c r="B38" s="25" t="e">
        <f>VLOOKUP(A38,Grupy!B:G,2,0)</f>
        <v>#N/A</v>
      </c>
      <c r="C38" s="26" t="e">
        <f>VLOOKUP(A38,Grupy!B:G,4,0)</f>
        <v>#N/A</v>
      </c>
      <c r="D38" s="25" t="e">
        <f>VLOOKUP(A38,Grupy!B:G,6,0)</f>
        <v>#N/A</v>
      </c>
      <c r="E38" s="24"/>
      <c r="F38" s="27" t="e">
        <f>VLOOKUP(E38,Platnosc!$B:$E,4,0)</f>
        <v>#N/A</v>
      </c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20"/>
      <c r="B39" s="21" t="e">
        <f>VLOOKUP(A39,Grupy!B:G,2,0)</f>
        <v>#N/A</v>
      </c>
      <c r="C39" s="22" t="e">
        <f>VLOOKUP(A39,Grupy!B:G,4,0)</f>
        <v>#N/A</v>
      </c>
      <c r="D39" s="21" t="e">
        <f>VLOOKUP(A39,Grupy!B:G,6,0)</f>
        <v>#N/A</v>
      </c>
      <c r="E39" s="20"/>
      <c r="F39" s="23" t="e">
        <f>VLOOKUP(E39,Platnosc!$B:$E,4,0)</f>
        <v>#N/A</v>
      </c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24"/>
      <c r="B40" s="25" t="e">
        <f>VLOOKUP(A40,Grupy!B:G,2,0)</f>
        <v>#N/A</v>
      </c>
      <c r="C40" s="26" t="e">
        <f>VLOOKUP(A40,Grupy!B:G,4,0)</f>
        <v>#N/A</v>
      </c>
      <c r="D40" s="25" t="e">
        <f>VLOOKUP(A40,Grupy!B:G,6,0)</f>
        <v>#N/A</v>
      </c>
      <c r="E40" s="24"/>
      <c r="F40" s="27" t="e">
        <f>VLOOKUP(E40,Platnosc!$B:$E,4,0)</f>
        <v>#N/A</v>
      </c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20"/>
      <c r="B41" s="21" t="e">
        <f>VLOOKUP(A41,Grupy!B:G,2,0)</f>
        <v>#N/A</v>
      </c>
      <c r="C41" s="22" t="e">
        <f>VLOOKUP(A41,Grupy!B:G,4,0)</f>
        <v>#N/A</v>
      </c>
      <c r="D41" s="21" t="e">
        <f>VLOOKUP(A41,Grupy!B:G,6,0)</f>
        <v>#N/A</v>
      </c>
      <c r="E41" s="20"/>
      <c r="F41" s="23" t="e">
        <f>VLOOKUP(E41,Platnosc!$B:$E,4,0)</f>
        <v>#N/A</v>
      </c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24"/>
      <c r="B42" s="25" t="e">
        <f>VLOOKUP(A42,Grupy!B:G,2,0)</f>
        <v>#N/A</v>
      </c>
      <c r="C42" s="26" t="e">
        <f>VLOOKUP(A42,Grupy!B:G,4,0)</f>
        <v>#N/A</v>
      </c>
      <c r="D42" s="25" t="e">
        <f>VLOOKUP(A42,Grupy!B:G,6,0)</f>
        <v>#N/A</v>
      </c>
      <c r="E42" s="24"/>
      <c r="F42" s="27" t="e">
        <f>VLOOKUP(E42,Platnosc!$B:$E,4,0)</f>
        <v>#N/A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20"/>
      <c r="B43" s="21" t="e">
        <f>VLOOKUP(A43,Grupy!B:G,2,0)</f>
        <v>#N/A</v>
      </c>
      <c r="C43" s="22" t="e">
        <f>VLOOKUP(A43,Grupy!B:G,4,0)</f>
        <v>#N/A</v>
      </c>
      <c r="D43" s="21" t="e">
        <f>VLOOKUP(A43,Grupy!B:G,6,0)</f>
        <v>#N/A</v>
      </c>
      <c r="E43" s="20"/>
      <c r="F43" s="23" t="e">
        <f>VLOOKUP(E43,Platnosc!$B:$E,4,0)</f>
        <v>#N/A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24"/>
      <c r="B44" s="25" t="e">
        <f>VLOOKUP(A44,Grupy!B:G,2,0)</f>
        <v>#N/A</v>
      </c>
      <c r="C44" s="26" t="e">
        <f>VLOOKUP(A44,Grupy!B:G,4,0)</f>
        <v>#N/A</v>
      </c>
      <c r="D44" s="25" t="e">
        <f>VLOOKUP(A44,Grupy!B:G,6,0)</f>
        <v>#N/A</v>
      </c>
      <c r="E44" s="24"/>
      <c r="F44" s="27" t="e">
        <f>VLOOKUP(E44,Platnosc!$B:$E,4,0)</f>
        <v>#N/A</v>
      </c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20"/>
      <c r="B45" s="21" t="e">
        <f>VLOOKUP(A45,Grupy!B:G,2,0)</f>
        <v>#N/A</v>
      </c>
      <c r="C45" s="22" t="e">
        <f>VLOOKUP(A45,Grupy!B:G,4,0)</f>
        <v>#N/A</v>
      </c>
      <c r="D45" s="21" t="e">
        <f>VLOOKUP(A45,Grupy!B:G,6,0)</f>
        <v>#N/A</v>
      </c>
      <c r="E45" s="20"/>
      <c r="F45" s="23" t="e">
        <f>VLOOKUP(E45,Platnosc!$B:$E,4,0)</f>
        <v>#N/A</v>
      </c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24"/>
      <c r="B46" s="25" t="e">
        <f>VLOOKUP(A46,Grupy!B:G,2,0)</f>
        <v>#N/A</v>
      </c>
      <c r="C46" s="26" t="e">
        <f>VLOOKUP(A46,Grupy!B:G,4,0)</f>
        <v>#N/A</v>
      </c>
      <c r="D46" s="25" t="e">
        <f>VLOOKUP(A46,Grupy!B:G,6,0)</f>
        <v>#N/A</v>
      </c>
      <c r="E46" s="24"/>
      <c r="F46" s="27" t="e">
        <f>VLOOKUP(E46,Platnosc!$B:$E,4,0)</f>
        <v>#N/A</v>
      </c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20"/>
      <c r="B47" s="21" t="e">
        <f>VLOOKUP(A47,Grupy!B:G,2,0)</f>
        <v>#N/A</v>
      </c>
      <c r="C47" s="22" t="e">
        <f>VLOOKUP(A47,Grupy!B:G,4,0)</f>
        <v>#N/A</v>
      </c>
      <c r="D47" s="21" t="e">
        <f>VLOOKUP(A47,Grupy!B:G,6,0)</f>
        <v>#N/A</v>
      </c>
      <c r="E47" s="20"/>
      <c r="F47" s="23" t="e">
        <f>VLOOKUP(E47,Platnosc!$B:$E,4,0)</f>
        <v>#N/A</v>
      </c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24"/>
      <c r="B48" s="25" t="e">
        <f>VLOOKUP(A48,Grupy!B:G,2,0)</f>
        <v>#N/A</v>
      </c>
      <c r="C48" s="26" t="e">
        <f>VLOOKUP(A48,Grupy!B:G,4,0)</f>
        <v>#N/A</v>
      </c>
      <c r="D48" s="25" t="e">
        <f>VLOOKUP(A48,Grupy!B:G,6,0)</f>
        <v>#N/A</v>
      </c>
      <c r="E48" s="24"/>
      <c r="F48" s="27" t="e">
        <f>VLOOKUP(E48,Platnosc!$B:$E,4,0)</f>
        <v>#N/A</v>
      </c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20"/>
      <c r="B49" s="21" t="e">
        <f>VLOOKUP(A49,Grupy!B:G,2,0)</f>
        <v>#N/A</v>
      </c>
      <c r="C49" s="22" t="e">
        <f>VLOOKUP(A49,Grupy!B:G,4,0)</f>
        <v>#N/A</v>
      </c>
      <c r="D49" s="21" t="e">
        <f>VLOOKUP(A49,Grupy!B:G,6,0)</f>
        <v>#N/A</v>
      </c>
      <c r="E49" s="20"/>
      <c r="F49" s="23" t="e">
        <f>VLOOKUP(E49,Platnosc!$B:$E,4,0)</f>
        <v>#N/A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24"/>
      <c r="B50" s="25" t="e">
        <f>VLOOKUP(A50,Grupy!B:G,2,0)</f>
        <v>#N/A</v>
      </c>
      <c r="C50" s="26" t="e">
        <f>VLOOKUP(A50,Grupy!B:G,4,0)</f>
        <v>#N/A</v>
      </c>
      <c r="D50" s="25" t="e">
        <f>VLOOKUP(A50,Grupy!B:G,6,0)</f>
        <v>#N/A</v>
      </c>
      <c r="E50" s="24"/>
      <c r="F50" s="27" t="e">
        <f>VLOOKUP(E50,Platnosc!$B:$E,4,0)</f>
        <v>#N/A</v>
      </c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20"/>
      <c r="B51" s="21" t="e">
        <f>VLOOKUP(A51,Grupy!B:G,2,0)</f>
        <v>#N/A</v>
      </c>
      <c r="C51" s="22" t="e">
        <f>VLOOKUP(A51,Grupy!B:G,4,0)</f>
        <v>#N/A</v>
      </c>
      <c r="D51" s="21" t="e">
        <f>VLOOKUP(A51,Grupy!B:G,6,0)</f>
        <v>#N/A</v>
      </c>
      <c r="E51" s="20"/>
      <c r="F51" s="23" t="e">
        <f>VLOOKUP(E51,Platnosc!$B:$E,4,0)</f>
        <v>#N/A</v>
      </c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5">
      <c r="A52" s="24"/>
      <c r="B52" s="25" t="e">
        <f>VLOOKUP(A52,Grupy!B:G,2,0)</f>
        <v>#N/A</v>
      </c>
      <c r="C52" s="26" t="e">
        <f>VLOOKUP(A52,Grupy!B:G,4,0)</f>
        <v>#N/A</v>
      </c>
      <c r="D52" s="25" t="e">
        <f>VLOOKUP(A52,Grupy!B:G,6,0)</f>
        <v>#N/A</v>
      </c>
      <c r="E52" s="24"/>
      <c r="F52" s="27" t="e">
        <f>VLOOKUP(E52,Platnosc!$B:$E,4,0)</f>
        <v>#N/A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5">
      <c r="A53" s="20"/>
      <c r="B53" s="21" t="e">
        <f>VLOOKUP(A53,Grupy!B:G,2,0)</f>
        <v>#N/A</v>
      </c>
      <c r="C53" s="22" t="e">
        <f>VLOOKUP(A53,Grupy!B:G,4,0)</f>
        <v>#N/A</v>
      </c>
      <c r="D53" s="21" t="e">
        <f>VLOOKUP(A53,Grupy!B:G,6,0)</f>
        <v>#N/A</v>
      </c>
      <c r="E53" s="20"/>
      <c r="F53" s="23" t="e">
        <f>VLOOKUP(E53,Platnosc!$B:$E,4,0)</f>
        <v>#N/A</v>
      </c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5">
      <c r="A54" s="24"/>
      <c r="B54" s="25" t="e">
        <f>VLOOKUP(A54,Grupy!B:G,2,0)</f>
        <v>#N/A</v>
      </c>
      <c r="C54" s="26" t="e">
        <f>VLOOKUP(A54,Grupy!B:G,4,0)</f>
        <v>#N/A</v>
      </c>
      <c r="D54" s="25" t="e">
        <f>VLOOKUP(A54,Grupy!B:G,6,0)</f>
        <v>#N/A</v>
      </c>
      <c r="E54" s="24"/>
      <c r="F54" s="27" t="e">
        <f>VLOOKUP(E54,Platnosc!$B:$E,4,0)</f>
        <v>#N/A</v>
      </c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5">
      <c r="A55" s="20"/>
      <c r="B55" s="21" t="e">
        <f>VLOOKUP(A55,Grupy!B:G,2,0)</f>
        <v>#N/A</v>
      </c>
      <c r="C55" s="22" t="e">
        <f>VLOOKUP(A55,Grupy!B:G,4,0)</f>
        <v>#N/A</v>
      </c>
      <c r="D55" s="21" t="e">
        <f>VLOOKUP(A55,Grupy!B:G,6,0)</f>
        <v>#N/A</v>
      </c>
      <c r="E55" s="20"/>
      <c r="F55" s="23" t="e">
        <f>VLOOKUP(E55,Platnosc!$B:$E,4,0)</f>
        <v>#N/A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5">
      <c r="A56" s="24"/>
      <c r="B56" s="25" t="e">
        <f>VLOOKUP(A56,Grupy!B:G,2,0)</f>
        <v>#N/A</v>
      </c>
      <c r="C56" s="26" t="e">
        <f>VLOOKUP(A56,Grupy!B:G,4,0)</f>
        <v>#N/A</v>
      </c>
      <c r="D56" s="25" t="e">
        <f>VLOOKUP(A56,Grupy!B:G,6,0)</f>
        <v>#N/A</v>
      </c>
      <c r="E56" s="24"/>
      <c r="F56" s="27" t="e">
        <f>VLOOKUP(E56,Platnosc!$B:$E,4,0)</f>
        <v>#N/A</v>
      </c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5">
      <c r="A57" s="20"/>
      <c r="B57" s="21" t="e">
        <f>VLOOKUP(A57,Grupy!B:G,2,0)</f>
        <v>#N/A</v>
      </c>
      <c r="C57" s="22" t="e">
        <f>VLOOKUP(A57,Grupy!B:G,4,0)</f>
        <v>#N/A</v>
      </c>
      <c r="D57" s="21" t="e">
        <f>VLOOKUP(A57,Grupy!B:G,6,0)</f>
        <v>#N/A</v>
      </c>
      <c r="E57" s="20"/>
      <c r="F57" s="23" t="e">
        <f>VLOOKUP(E57,Platnosc!$B:$E,4,0)</f>
        <v>#N/A</v>
      </c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5">
      <c r="A58" s="24"/>
      <c r="B58" s="25" t="e">
        <f>VLOOKUP(A58,Grupy!B:G,2,0)</f>
        <v>#N/A</v>
      </c>
      <c r="C58" s="26" t="e">
        <f>VLOOKUP(A58,Grupy!B:G,4,0)</f>
        <v>#N/A</v>
      </c>
      <c r="D58" s="25" t="e">
        <f>VLOOKUP(A58,Grupy!B:G,6,0)</f>
        <v>#N/A</v>
      </c>
      <c r="E58" s="24"/>
      <c r="F58" s="27" t="e">
        <f>VLOOKUP(E58,Platnosc!$B:$E,4,0)</f>
        <v>#N/A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5">
      <c r="A59" s="20"/>
      <c r="B59" s="21" t="e">
        <f>VLOOKUP(A59,Grupy!B:G,2,0)</f>
        <v>#N/A</v>
      </c>
      <c r="C59" s="22" t="e">
        <f>VLOOKUP(A59,Grupy!B:G,4,0)</f>
        <v>#N/A</v>
      </c>
      <c r="D59" s="21" t="e">
        <f>VLOOKUP(A59,Grupy!B:G,6,0)</f>
        <v>#N/A</v>
      </c>
      <c r="E59" s="20"/>
      <c r="F59" s="23" t="e">
        <f>VLOOKUP(E59,Platnosc!$B:$E,4,0)</f>
        <v>#N/A</v>
      </c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5">
      <c r="A60" s="28"/>
      <c r="B60" s="29" t="e">
        <f>VLOOKUP(A60,Grupy!B:G,2,0)</f>
        <v>#N/A</v>
      </c>
      <c r="C60" s="30" t="e">
        <f>VLOOKUP(A60,Grupy!B:G,4,0)</f>
        <v>#N/A</v>
      </c>
      <c r="D60" s="29" t="e">
        <f>VLOOKUP(A60,Grupy!B:G,6,0)</f>
        <v>#N/A</v>
      </c>
      <c r="E60" s="28"/>
      <c r="F60" s="31" t="e">
        <f>VLOOKUP(E60,Platnosc!$B:$E,4,0)</f>
        <v>#N/A</v>
      </c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</sheetData>
  <protectedRanges>
    <protectedRange password="C0A5" sqref="A1:F1048576" name="Range1"/>
  </protectedRanges>
  <conditionalFormatting sqref="G2:Z60">
    <cfRule type="expression" dxfId="15" priority="4">
      <formula>IF($F2&gt;=G$1,TRUE,)</formula>
    </cfRule>
  </conditionalFormatting>
  <conditionalFormatting sqref="A2:E60">
    <cfRule type="containsErrors" dxfId="14" priority="3">
      <formula>ISERROR(A2)</formula>
    </cfRule>
  </conditionalFormatting>
  <conditionalFormatting sqref="F2:F60">
    <cfRule type="containsErrors" dxfId="13" priority="2">
      <formula>ISERROR(F2)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722BA3D-E719-49AA-9325-4EFA6A9C2FC7}">
            <xm:f>IF($F2&lt;Platnosc!$I$1,TRUE,FALSE)</xm:f>
            <x14:dxf>
              <fill>
                <patternFill>
                  <bgColor rgb="FFFFC000"/>
                </patternFill>
              </fill>
            </x14:dxf>
          </x14:cfRule>
          <xm:sqref>F2:F60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theme="9" tint="0.39997558519241921"/>
  </sheetPr>
  <dimension ref="A1:I139"/>
  <sheetViews>
    <sheetView tabSelected="1" workbookViewId="0">
      <selection activeCell="L33" sqref="L33"/>
    </sheetView>
  </sheetViews>
  <sheetFormatPr defaultColWidth="8.85546875" defaultRowHeight="15" x14ac:dyDescent="0.25"/>
  <cols>
    <col min="1" max="1" width="4.85546875" customWidth="1"/>
    <col min="2" max="2" width="27.28515625" bestFit="1" customWidth="1"/>
    <col min="3" max="3" width="31.28515625" bestFit="1" customWidth="1"/>
    <col min="4" max="4" width="17.42578125" customWidth="1"/>
    <col min="5" max="5" width="8.7109375" customWidth="1"/>
    <col min="6" max="6" width="12.42578125" bestFit="1" customWidth="1"/>
    <col min="7" max="7" width="17" customWidth="1"/>
    <col min="8" max="8" width="16.42578125" customWidth="1"/>
    <col min="9" max="9" width="15" bestFit="1" customWidth="1"/>
    <col min="10" max="10" width="23.85546875" bestFit="1" customWidth="1"/>
  </cols>
  <sheetData>
    <row r="1" spans="1:8" x14ac:dyDescent="0.25">
      <c r="A1" s="2" t="s">
        <v>137</v>
      </c>
      <c r="B1" s="2" t="s">
        <v>49</v>
      </c>
      <c r="C1" s="2" t="s">
        <v>138</v>
      </c>
      <c r="D1" s="2" t="s">
        <v>139</v>
      </c>
      <c r="E1" s="2" t="s">
        <v>140</v>
      </c>
      <c r="F1" s="2" t="s">
        <v>141</v>
      </c>
      <c r="G1" s="2" t="s">
        <v>142</v>
      </c>
      <c r="H1" s="2" t="s">
        <v>143</v>
      </c>
    </row>
    <row r="2" spans="1:8" x14ac:dyDescent="0.25">
      <c r="A2" s="45">
        <v>1</v>
      </c>
      <c r="B2" s="45" t="s">
        <v>144</v>
      </c>
      <c r="C2" s="46" t="s">
        <v>145</v>
      </c>
      <c r="D2" s="45">
        <v>607445196</v>
      </c>
      <c r="E2" s="45"/>
      <c r="F2" s="45"/>
      <c r="G2" s="45"/>
      <c r="H2" s="48">
        <v>45027</v>
      </c>
    </row>
    <row r="3" spans="1:8" x14ac:dyDescent="0.25">
      <c r="A3" s="47">
        <v>3</v>
      </c>
      <c r="B3" s="47" t="s">
        <v>75</v>
      </c>
      <c r="C3" s="47"/>
      <c r="D3" s="47"/>
      <c r="E3" s="47"/>
      <c r="F3" s="47" t="s">
        <v>74</v>
      </c>
      <c r="G3" s="47"/>
      <c r="H3" s="49">
        <v>44994</v>
      </c>
    </row>
    <row r="4" spans="1:8" x14ac:dyDescent="0.25">
      <c r="A4" s="45">
        <v>4</v>
      </c>
      <c r="B4" s="45" t="s">
        <v>22</v>
      </c>
      <c r="C4" s="45"/>
      <c r="D4" s="45"/>
      <c r="E4" s="45"/>
      <c r="F4" s="45" t="s">
        <v>21</v>
      </c>
      <c r="G4" s="45"/>
      <c r="H4" s="48">
        <v>45033</v>
      </c>
    </row>
    <row r="5" spans="1:8" x14ac:dyDescent="0.25">
      <c r="A5" s="47">
        <v>5</v>
      </c>
      <c r="B5" s="47" t="s">
        <v>79</v>
      </c>
      <c r="C5" s="47"/>
      <c r="D5" s="47"/>
      <c r="E5" s="47"/>
      <c r="F5" s="47" t="s">
        <v>74</v>
      </c>
      <c r="G5" s="47"/>
      <c r="H5" s="49">
        <v>45019</v>
      </c>
    </row>
    <row r="6" spans="1:8" x14ac:dyDescent="0.25">
      <c r="A6" s="45">
        <v>6</v>
      </c>
      <c r="B6" s="45" t="s">
        <v>81</v>
      </c>
      <c r="C6" s="45"/>
      <c r="D6" s="45"/>
      <c r="E6" s="45"/>
      <c r="F6" s="45" t="s">
        <v>74</v>
      </c>
      <c r="G6" s="45"/>
      <c r="H6" s="48">
        <v>45033</v>
      </c>
    </row>
    <row r="7" spans="1:8" x14ac:dyDescent="0.25">
      <c r="A7" s="47">
        <v>7</v>
      </c>
      <c r="B7" s="47" t="s">
        <v>146</v>
      </c>
      <c r="C7" s="47"/>
      <c r="D7" s="47"/>
      <c r="E7" s="47"/>
      <c r="F7" s="47"/>
      <c r="G7" s="47"/>
      <c r="H7" s="49">
        <v>45008</v>
      </c>
    </row>
    <row r="8" spans="1:8" x14ac:dyDescent="0.25">
      <c r="A8" s="45">
        <v>9</v>
      </c>
      <c r="B8" s="45" t="s">
        <v>147</v>
      </c>
      <c r="C8" s="46" t="s">
        <v>148</v>
      </c>
      <c r="D8" s="45"/>
      <c r="E8" s="45"/>
      <c r="F8" s="45"/>
      <c r="G8" s="45"/>
      <c r="H8" s="48">
        <v>45012</v>
      </c>
    </row>
    <row r="9" spans="1:8" x14ac:dyDescent="0.25">
      <c r="A9" s="47">
        <v>10</v>
      </c>
      <c r="B9" s="47" t="s">
        <v>149</v>
      </c>
      <c r="C9" s="47"/>
      <c r="D9" s="47">
        <v>785089782</v>
      </c>
      <c r="E9" s="47"/>
      <c r="F9" s="47"/>
      <c r="G9" s="47"/>
      <c r="H9" s="49">
        <v>45019</v>
      </c>
    </row>
    <row r="10" spans="1:8" x14ac:dyDescent="0.25">
      <c r="A10" s="45">
        <v>11</v>
      </c>
      <c r="B10" s="45" t="s">
        <v>8</v>
      </c>
      <c r="C10" s="45"/>
      <c r="D10" s="45"/>
      <c r="E10" s="45"/>
      <c r="F10" s="45" t="s">
        <v>7</v>
      </c>
      <c r="G10" s="45"/>
      <c r="H10" s="48">
        <v>44998</v>
      </c>
    </row>
    <row r="11" spans="1:8" x14ac:dyDescent="0.25">
      <c r="A11" s="47">
        <v>12</v>
      </c>
      <c r="B11" s="47" t="s">
        <v>82</v>
      </c>
      <c r="C11" s="47"/>
      <c r="D11" s="47">
        <v>793945969</v>
      </c>
      <c r="E11" s="47"/>
      <c r="F11" s="47" t="s">
        <v>74</v>
      </c>
      <c r="G11" s="47"/>
      <c r="H11" s="49">
        <v>45012</v>
      </c>
    </row>
    <row r="12" spans="1:8" x14ac:dyDescent="0.25">
      <c r="A12" s="45">
        <v>13</v>
      </c>
      <c r="B12" s="45" t="s">
        <v>150</v>
      </c>
      <c r="C12" s="45"/>
      <c r="D12" s="45"/>
      <c r="E12" s="45"/>
      <c r="F12" s="45"/>
      <c r="G12" s="45"/>
      <c r="H12" s="48">
        <v>44984</v>
      </c>
    </row>
    <row r="13" spans="1:8" x14ac:dyDescent="0.25">
      <c r="A13" s="47">
        <v>14</v>
      </c>
      <c r="B13" s="47" t="s">
        <v>43</v>
      </c>
      <c r="C13" s="35" t="s">
        <v>151</v>
      </c>
      <c r="D13" s="47"/>
      <c r="E13" s="47"/>
      <c r="F13" s="47" t="s">
        <v>42</v>
      </c>
      <c r="G13" s="47"/>
      <c r="H13" s="49">
        <v>45020</v>
      </c>
    </row>
    <row r="14" spans="1:8" x14ac:dyDescent="0.25">
      <c r="A14" s="45">
        <v>15</v>
      </c>
      <c r="B14" s="45" t="s">
        <v>10</v>
      </c>
      <c r="C14" s="45"/>
      <c r="D14" s="45"/>
      <c r="E14" s="45"/>
      <c r="F14" s="45" t="s">
        <v>7</v>
      </c>
      <c r="G14" s="45"/>
      <c r="H14" s="48">
        <v>45005</v>
      </c>
    </row>
    <row r="15" spans="1:8" x14ac:dyDescent="0.25">
      <c r="A15" s="47">
        <v>16</v>
      </c>
      <c r="B15" s="47" t="s">
        <v>12</v>
      </c>
      <c r="C15" s="47"/>
      <c r="D15" s="47"/>
      <c r="E15" s="47"/>
      <c r="F15" s="47" t="s">
        <v>7</v>
      </c>
      <c r="G15" s="47"/>
      <c r="H15" s="49">
        <v>45005</v>
      </c>
    </row>
    <row r="16" spans="1:8" x14ac:dyDescent="0.25">
      <c r="A16" s="45">
        <v>17</v>
      </c>
      <c r="B16" s="45" t="s">
        <v>14</v>
      </c>
      <c r="C16" s="45"/>
      <c r="D16" s="45"/>
      <c r="E16" s="45"/>
      <c r="F16" s="45" t="s">
        <v>7</v>
      </c>
      <c r="G16" s="45"/>
      <c r="H16" s="48">
        <v>45005</v>
      </c>
    </row>
    <row r="17" spans="1:8" x14ac:dyDescent="0.25">
      <c r="A17" s="47">
        <v>19</v>
      </c>
      <c r="B17" s="47" t="s">
        <v>24</v>
      </c>
      <c r="C17" s="47"/>
      <c r="D17" s="47"/>
      <c r="E17" s="47"/>
      <c r="F17" s="47" t="s">
        <v>21</v>
      </c>
      <c r="G17" s="47"/>
      <c r="H17" s="49">
        <v>45005</v>
      </c>
    </row>
    <row r="18" spans="1:8" x14ac:dyDescent="0.25">
      <c r="A18" s="45">
        <v>20</v>
      </c>
      <c r="B18" s="45" t="s">
        <v>89</v>
      </c>
      <c r="C18" s="45"/>
      <c r="D18" s="45"/>
      <c r="E18" s="45"/>
      <c r="F18" s="45" t="s">
        <v>88</v>
      </c>
      <c r="G18" s="45"/>
      <c r="H18" s="45"/>
    </row>
    <row r="19" spans="1:8" x14ac:dyDescent="0.25">
      <c r="A19" s="47">
        <v>21</v>
      </c>
      <c r="B19" s="47" t="s">
        <v>25</v>
      </c>
      <c r="C19" s="35" t="s">
        <v>152</v>
      </c>
      <c r="D19" s="47"/>
      <c r="E19" s="47"/>
      <c r="F19" s="47" t="s">
        <v>153</v>
      </c>
      <c r="G19" s="47"/>
      <c r="H19" s="47"/>
    </row>
    <row r="20" spans="1:8" x14ac:dyDescent="0.25">
      <c r="A20" s="45">
        <v>22</v>
      </c>
      <c r="B20" s="45" t="s">
        <v>26</v>
      </c>
      <c r="C20" s="45"/>
      <c r="D20" s="45"/>
      <c r="E20" s="45"/>
      <c r="F20" s="45" t="s">
        <v>21</v>
      </c>
      <c r="G20" s="45"/>
      <c r="H20" s="45"/>
    </row>
    <row r="21" spans="1:8" x14ac:dyDescent="0.25">
      <c r="A21" s="47">
        <v>24</v>
      </c>
      <c r="B21" s="47" t="s">
        <v>27</v>
      </c>
      <c r="C21" s="47"/>
      <c r="D21" s="47"/>
      <c r="E21" s="47"/>
      <c r="F21" s="47" t="s">
        <v>21</v>
      </c>
      <c r="G21" s="47"/>
      <c r="H21" s="49">
        <v>45012</v>
      </c>
    </row>
    <row r="22" spans="1:8" x14ac:dyDescent="0.25">
      <c r="A22" s="45">
        <v>25</v>
      </c>
      <c r="B22" s="45" t="s">
        <v>28</v>
      </c>
      <c r="C22" s="45"/>
      <c r="D22" s="45"/>
      <c r="E22" s="45"/>
      <c r="F22" s="45" t="s">
        <v>154</v>
      </c>
      <c r="G22" s="45"/>
      <c r="H22" s="48">
        <v>45009</v>
      </c>
    </row>
    <row r="23" spans="1:8" x14ac:dyDescent="0.25">
      <c r="A23" s="47">
        <v>26</v>
      </c>
      <c r="B23" s="47" t="s">
        <v>155</v>
      </c>
      <c r="C23" s="47"/>
      <c r="D23" s="47"/>
      <c r="E23" s="47"/>
      <c r="F23" s="47"/>
      <c r="G23" s="47"/>
      <c r="H23" s="47"/>
    </row>
    <row r="24" spans="1:8" x14ac:dyDescent="0.25">
      <c r="A24" s="45">
        <v>30</v>
      </c>
      <c r="B24" s="45" t="s">
        <v>156</v>
      </c>
      <c r="C24" s="46" t="s">
        <v>157</v>
      </c>
      <c r="D24" s="45"/>
      <c r="E24" s="45"/>
      <c r="F24" s="45"/>
      <c r="G24" s="45"/>
      <c r="H24" s="48">
        <v>44991</v>
      </c>
    </row>
    <row r="25" spans="1:8" x14ac:dyDescent="0.25">
      <c r="A25" s="47">
        <v>31</v>
      </c>
      <c r="B25" s="47" t="s">
        <v>158</v>
      </c>
      <c r="C25" s="47"/>
      <c r="D25" s="47"/>
      <c r="E25" s="47"/>
      <c r="F25" s="47"/>
      <c r="G25" s="47"/>
      <c r="H25" s="47"/>
    </row>
    <row r="26" spans="1:8" x14ac:dyDescent="0.25">
      <c r="A26" s="45">
        <v>32</v>
      </c>
      <c r="B26" s="45" t="s">
        <v>159</v>
      </c>
      <c r="C26" s="46" t="s">
        <v>160</v>
      </c>
      <c r="D26" s="45"/>
      <c r="E26" s="45"/>
      <c r="F26" s="45"/>
      <c r="G26" s="45"/>
      <c r="H26" s="48">
        <v>44984</v>
      </c>
    </row>
    <row r="27" spans="1:8" x14ac:dyDescent="0.25">
      <c r="A27" s="47">
        <v>33</v>
      </c>
      <c r="B27" s="47" t="s">
        <v>51</v>
      </c>
      <c r="C27" s="47"/>
      <c r="D27" s="47">
        <v>732864590</v>
      </c>
      <c r="E27" s="47"/>
      <c r="F27" s="47" t="s">
        <v>50</v>
      </c>
      <c r="G27" s="47"/>
      <c r="H27" s="49">
        <v>45027</v>
      </c>
    </row>
    <row r="28" spans="1:8" x14ac:dyDescent="0.25">
      <c r="A28" s="45">
        <v>34</v>
      </c>
      <c r="B28" s="45" t="s">
        <v>54</v>
      </c>
      <c r="C28" s="45"/>
      <c r="D28" s="45">
        <v>511800142</v>
      </c>
      <c r="E28" s="45"/>
      <c r="F28" s="45" t="s">
        <v>50</v>
      </c>
      <c r="G28" s="45"/>
      <c r="H28" s="48">
        <v>45052</v>
      </c>
    </row>
    <row r="29" spans="1:8" x14ac:dyDescent="0.25">
      <c r="A29" s="47">
        <v>36</v>
      </c>
      <c r="B29" s="47" t="s">
        <v>55</v>
      </c>
      <c r="C29" s="47"/>
      <c r="D29" s="47"/>
      <c r="E29" s="47"/>
      <c r="F29" s="47" t="s">
        <v>50</v>
      </c>
      <c r="G29" s="47"/>
      <c r="H29" s="49">
        <v>45020</v>
      </c>
    </row>
    <row r="30" spans="1:8" x14ac:dyDescent="0.25">
      <c r="A30" s="45">
        <v>37</v>
      </c>
      <c r="B30" s="45" t="s">
        <v>161</v>
      </c>
      <c r="C30" s="45"/>
      <c r="D30" s="45"/>
      <c r="E30" s="45"/>
      <c r="F30" s="45" t="s">
        <v>162</v>
      </c>
      <c r="G30" s="45"/>
      <c r="H30" s="48">
        <v>45020</v>
      </c>
    </row>
    <row r="31" spans="1:8" x14ac:dyDescent="0.25">
      <c r="A31" s="47">
        <v>38</v>
      </c>
      <c r="B31" s="47" t="s">
        <v>163</v>
      </c>
      <c r="C31" s="47"/>
      <c r="D31" s="47"/>
      <c r="E31" s="47"/>
      <c r="F31" s="47" t="s">
        <v>164</v>
      </c>
      <c r="G31" s="47"/>
      <c r="H31" s="49">
        <v>45013</v>
      </c>
    </row>
    <row r="32" spans="1:8" x14ac:dyDescent="0.25">
      <c r="A32" s="45">
        <v>39</v>
      </c>
      <c r="B32" s="45" t="s">
        <v>165</v>
      </c>
      <c r="C32" s="45"/>
      <c r="D32" s="45"/>
      <c r="E32" s="45"/>
      <c r="F32" s="45" t="s">
        <v>162</v>
      </c>
      <c r="G32" s="45"/>
      <c r="H32" s="45"/>
    </row>
    <row r="33" spans="1:9" x14ac:dyDescent="0.25">
      <c r="A33" s="47">
        <v>42</v>
      </c>
      <c r="B33" s="47" t="s">
        <v>166</v>
      </c>
      <c r="C33" s="47"/>
      <c r="D33" s="47">
        <v>695362215</v>
      </c>
      <c r="E33" s="47"/>
      <c r="F33" s="47"/>
      <c r="G33" s="47"/>
      <c r="H33" s="47"/>
    </row>
    <row r="34" spans="1:9" x14ac:dyDescent="0.25">
      <c r="A34" s="45">
        <v>44</v>
      </c>
      <c r="B34" s="45" t="s">
        <v>167</v>
      </c>
      <c r="C34" s="45"/>
      <c r="D34" s="45"/>
      <c r="E34" s="45"/>
      <c r="F34" s="45" t="s">
        <v>168</v>
      </c>
      <c r="G34" s="45"/>
      <c r="H34" s="45"/>
    </row>
    <row r="35" spans="1:9" x14ac:dyDescent="0.25">
      <c r="A35" s="47">
        <v>45</v>
      </c>
      <c r="B35" s="47" t="s">
        <v>169</v>
      </c>
      <c r="C35" s="47"/>
      <c r="D35" s="47">
        <v>609450668</v>
      </c>
      <c r="E35" s="47"/>
      <c r="F35" s="47" t="s">
        <v>168</v>
      </c>
      <c r="G35" s="47"/>
      <c r="H35" s="49">
        <v>45015</v>
      </c>
      <c r="I35" s="5"/>
    </row>
    <row r="36" spans="1:9" x14ac:dyDescent="0.25">
      <c r="A36" s="45">
        <v>46</v>
      </c>
      <c r="B36" s="45" t="s">
        <v>33</v>
      </c>
      <c r="C36" s="45"/>
      <c r="D36" s="45">
        <v>695306446</v>
      </c>
      <c r="E36" s="45"/>
      <c r="F36" s="45" t="s">
        <v>32</v>
      </c>
      <c r="G36" s="45"/>
      <c r="H36" s="45"/>
    </row>
    <row r="37" spans="1:9" x14ac:dyDescent="0.25">
      <c r="A37" s="47">
        <v>47</v>
      </c>
      <c r="B37" s="47" t="s">
        <v>36</v>
      </c>
      <c r="C37" s="47"/>
      <c r="D37" s="47"/>
      <c r="E37" s="47"/>
      <c r="F37" s="47" t="s">
        <v>170</v>
      </c>
      <c r="G37" s="47"/>
      <c r="H37" s="47"/>
    </row>
    <row r="38" spans="1:9" x14ac:dyDescent="0.25">
      <c r="A38" s="45">
        <v>48</v>
      </c>
      <c r="B38" s="45" t="s">
        <v>37</v>
      </c>
      <c r="C38" s="45"/>
      <c r="D38" s="45">
        <v>691466006</v>
      </c>
      <c r="E38" s="45"/>
      <c r="F38" s="45" t="s">
        <v>171</v>
      </c>
      <c r="G38" s="45"/>
      <c r="H38" s="48">
        <v>45009</v>
      </c>
    </row>
    <row r="39" spans="1:9" x14ac:dyDescent="0.25">
      <c r="A39" s="47">
        <v>50</v>
      </c>
      <c r="B39" s="47" t="s">
        <v>38</v>
      </c>
      <c r="C39" s="47"/>
      <c r="D39" s="47">
        <v>661680877</v>
      </c>
      <c r="E39" s="47"/>
      <c r="F39" s="47" t="s">
        <v>32</v>
      </c>
      <c r="G39" s="47"/>
      <c r="H39" s="49">
        <v>45006</v>
      </c>
    </row>
    <row r="40" spans="1:9" x14ac:dyDescent="0.25">
      <c r="A40" s="45">
        <v>52</v>
      </c>
      <c r="B40" s="45" t="s">
        <v>39</v>
      </c>
      <c r="C40" s="45"/>
      <c r="D40" s="45">
        <v>663920361</v>
      </c>
      <c r="E40" s="45"/>
      <c r="F40" s="45" t="s">
        <v>32</v>
      </c>
      <c r="G40" s="45"/>
      <c r="H40" s="48">
        <v>45006</v>
      </c>
    </row>
    <row r="41" spans="1:9" x14ac:dyDescent="0.25">
      <c r="A41" s="47">
        <v>53</v>
      </c>
      <c r="B41" s="47" t="s">
        <v>31</v>
      </c>
      <c r="C41" s="47"/>
      <c r="D41" s="47">
        <v>794551384</v>
      </c>
      <c r="E41" s="47"/>
      <c r="F41" s="47" t="s">
        <v>172</v>
      </c>
      <c r="G41" s="47"/>
      <c r="H41" s="47"/>
    </row>
    <row r="42" spans="1:9" x14ac:dyDescent="0.25">
      <c r="A42" s="45">
        <v>55</v>
      </c>
      <c r="B42" s="45" t="s">
        <v>44</v>
      </c>
      <c r="C42" s="45"/>
      <c r="D42" s="45"/>
      <c r="E42" s="45"/>
      <c r="F42" s="45" t="s">
        <v>42</v>
      </c>
      <c r="G42" s="45" t="s">
        <v>173</v>
      </c>
      <c r="H42" s="45"/>
    </row>
    <row r="43" spans="1:9" x14ac:dyDescent="0.25">
      <c r="A43" s="47">
        <v>56</v>
      </c>
      <c r="B43" s="47" t="s">
        <v>45</v>
      </c>
      <c r="C43" s="47"/>
      <c r="D43" s="47"/>
      <c r="E43" s="47"/>
      <c r="F43" s="47" t="s">
        <v>42</v>
      </c>
      <c r="G43" s="47"/>
      <c r="H43" s="47"/>
    </row>
    <row r="44" spans="1:9" x14ac:dyDescent="0.25">
      <c r="A44" s="45">
        <v>57</v>
      </c>
      <c r="B44" s="45" t="s">
        <v>174</v>
      </c>
      <c r="C44" s="45"/>
      <c r="D44" s="45"/>
      <c r="E44" s="45"/>
      <c r="F44" s="45"/>
      <c r="G44" s="45"/>
      <c r="H44" s="45"/>
    </row>
    <row r="45" spans="1:9" x14ac:dyDescent="0.25">
      <c r="A45" s="47">
        <v>58</v>
      </c>
      <c r="B45" s="47" t="s">
        <v>47</v>
      </c>
      <c r="C45" s="47"/>
      <c r="D45" s="47"/>
      <c r="E45" s="47"/>
      <c r="F45" s="47" t="s">
        <v>42</v>
      </c>
      <c r="G45" s="47"/>
      <c r="H45" s="47"/>
    </row>
    <row r="46" spans="1:9" x14ac:dyDescent="0.25">
      <c r="A46" s="45">
        <v>59</v>
      </c>
      <c r="B46" s="45" t="s">
        <v>175</v>
      </c>
      <c r="C46" s="45" t="s">
        <v>176</v>
      </c>
      <c r="D46" s="50">
        <v>665997149</v>
      </c>
      <c r="E46" s="45"/>
      <c r="F46" s="45"/>
      <c r="G46" s="45"/>
      <c r="H46" s="45"/>
    </row>
    <row r="47" spans="1:9" x14ac:dyDescent="0.25">
      <c r="A47" s="47">
        <v>60</v>
      </c>
      <c r="B47" s="47" t="s">
        <v>83</v>
      </c>
      <c r="C47" s="47"/>
      <c r="D47" s="51">
        <v>888612423</v>
      </c>
      <c r="E47" s="47"/>
      <c r="F47" s="47" t="s">
        <v>74</v>
      </c>
      <c r="G47" s="47"/>
      <c r="H47" s="49">
        <v>45014</v>
      </c>
    </row>
    <row r="48" spans="1:9" x14ac:dyDescent="0.25">
      <c r="A48" s="45">
        <v>61</v>
      </c>
      <c r="B48" s="45" t="s">
        <v>100</v>
      </c>
      <c r="C48" s="45"/>
      <c r="D48" s="45"/>
      <c r="E48" s="45"/>
      <c r="F48" s="45" t="s">
        <v>98</v>
      </c>
      <c r="G48" s="45"/>
      <c r="H48" s="48">
        <v>44993</v>
      </c>
    </row>
    <row r="49" spans="1:8" x14ac:dyDescent="0.25">
      <c r="A49" s="47">
        <v>62</v>
      </c>
      <c r="B49" s="47" t="s">
        <v>177</v>
      </c>
      <c r="C49" s="47"/>
      <c r="D49" s="51">
        <v>721236165</v>
      </c>
      <c r="E49" s="47"/>
      <c r="F49" s="47"/>
      <c r="G49" s="47"/>
      <c r="H49" s="47"/>
    </row>
    <row r="50" spans="1:8" x14ac:dyDescent="0.25">
      <c r="A50" s="45">
        <v>63</v>
      </c>
      <c r="B50" s="45" t="s">
        <v>86</v>
      </c>
      <c r="C50" s="45"/>
      <c r="D50" s="45">
        <v>665997149</v>
      </c>
      <c r="E50" s="45"/>
      <c r="F50" s="45" t="s">
        <v>74</v>
      </c>
      <c r="G50" s="45"/>
      <c r="H50" s="48">
        <v>45007</v>
      </c>
    </row>
    <row r="51" spans="1:8" x14ac:dyDescent="0.25">
      <c r="A51" s="47">
        <v>64</v>
      </c>
      <c r="B51" s="47" t="s">
        <v>178</v>
      </c>
      <c r="C51" s="47"/>
      <c r="D51" s="47">
        <v>669624527</v>
      </c>
      <c r="E51" s="47"/>
      <c r="F51" s="47"/>
      <c r="G51" s="47"/>
      <c r="H51" s="49">
        <v>45000</v>
      </c>
    </row>
    <row r="52" spans="1:8" x14ac:dyDescent="0.25">
      <c r="A52" s="45">
        <v>65</v>
      </c>
      <c r="B52" s="45" t="s">
        <v>92</v>
      </c>
      <c r="C52" s="45"/>
      <c r="D52" s="45"/>
      <c r="E52" s="45"/>
      <c r="F52" s="45" t="s">
        <v>91</v>
      </c>
      <c r="G52" s="45"/>
      <c r="H52" s="48">
        <v>44993</v>
      </c>
    </row>
    <row r="53" spans="1:8" x14ac:dyDescent="0.25">
      <c r="A53" s="47">
        <v>66</v>
      </c>
      <c r="B53" s="47" t="s">
        <v>93</v>
      </c>
      <c r="C53" s="47"/>
      <c r="D53" s="47"/>
      <c r="E53" s="47"/>
      <c r="F53" s="47" t="s">
        <v>91</v>
      </c>
      <c r="G53" s="47"/>
      <c r="H53" s="49">
        <v>45007</v>
      </c>
    </row>
    <row r="54" spans="1:8" x14ac:dyDescent="0.25">
      <c r="A54" s="45">
        <v>67</v>
      </c>
      <c r="B54" s="45" t="s">
        <v>94</v>
      </c>
      <c r="C54" s="45"/>
      <c r="D54" s="45"/>
      <c r="E54" s="45"/>
      <c r="F54" s="45" t="s">
        <v>91</v>
      </c>
      <c r="G54" s="45"/>
      <c r="H54" s="48">
        <v>45000</v>
      </c>
    </row>
    <row r="55" spans="1:8" x14ac:dyDescent="0.25">
      <c r="A55" s="47">
        <v>68</v>
      </c>
      <c r="B55" s="47" t="s">
        <v>95</v>
      </c>
      <c r="C55" s="47"/>
      <c r="D55" s="47"/>
      <c r="E55" s="47"/>
      <c r="F55" s="47" t="s">
        <v>91</v>
      </c>
      <c r="G55" s="47"/>
      <c r="H55" s="49">
        <v>44993</v>
      </c>
    </row>
    <row r="56" spans="1:8" x14ac:dyDescent="0.25">
      <c r="A56" s="45">
        <v>69</v>
      </c>
      <c r="B56" s="45" t="s">
        <v>96</v>
      </c>
      <c r="C56" s="45"/>
      <c r="D56" s="45"/>
      <c r="E56" s="45"/>
      <c r="F56" s="45" t="s">
        <v>91</v>
      </c>
      <c r="G56" s="45"/>
      <c r="H56" s="48">
        <v>45000</v>
      </c>
    </row>
    <row r="57" spans="1:8" x14ac:dyDescent="0.25">
      <c r="A57" s="47">
        <v>70</v>
      </c>
      <c r="B57" s="47" t="s">
        <v>97</v>
      </c>
      <c r="C57" s="47"/>
      <c r="D57" s="47"/>
      <c r="E57" s="47"/>
      <c r="F57" s="47" t="s">
        <v>91</v>
      </c>
      <c r="G57" s="47"/>
      <c r="H57" s="47"/>
    </row>
    <row r="58" spans="1:8" x14ac:dyDescent="0.25">
      <c r="A58" s="45">
        <v>71</v>
      </c>
      <c r="B58" s="45" t="s">
        <v>16</v>
      </c>
      <c r="C58" s="45"/>
      <c r="D58" s="45"/>
      <c r="E58" s="45"/>
      <c r="F58" s="45" t="s">
        <v>7</v>
      </c>
      <c r="G58" s="45"/>
      <c r="H58" s="48">
        <v>45019</v>
      </c>
    </row>
    <row r="59" spans="1:8" x14ac:dyDescent="0.25">
      <c r="A59" s="47">
        <v>72</v>
      </c>
      <c r="B59" s="47" t="s">
        <v>29</v>
      </c>
      <c r="C59" s="47"/>
      <c r="D59" s="47"/>
      <c r="E59" s="47"/>
      <c r="F59" s="47" t="s">
        <v>179</v>
      </c>
      <c r="G59" s="47"/>
      <c r="H59" s="49">
        <v>45014</v>
      </c>
    </row>
    <row r="60" spans="1:8" x14ac:dyDescent="0.25">
      <c r="A60" s="45">
        <v>73</v>
      </c>
      <c r="B60" s="45" t="s">
        <v>65</v>
      </c>
      <c r="C60" s="45"/>
      <c r="D60" s="45">
        <v>729876113</v>
      </c>
      <c r="E60" s="45"/>
      <c r="F60" s="45" t="s">
        <v>64</v>
      </c>
      <c r="G60" s="45"/>
      <c r="H60" s="45"/>
    </row>
    <row r="61" spans="1:8" x14ac:dyDescent="0.25">
      <c r="A61" s="47">
        <v>74</v>
      </c>
      <c r="B61" s="47" t="s">
        <v>116</v>
      </c>
      <c r="C61" s="47"/>
      <c r="D61" s="47"/>
      <c r="E61" s="47"/>
      <c r="F61" s="47" t="s">
        <v>115</v>
      </c>
      <c r="G61" s="47"/>
      <c r="H61" s="49">
        <v>44991</v>
      </c>
    </row>
    <row r="62" spans="1:8" x14ac:dyDescent="0.25">
      <c r="A62" s="45">
        <v>77</v>
      </c>
      <c r="B62" s="45" t="s">
        <v>101</v>
      </c>
      <c r="C62" s="46" t="s">
        <v>180</v>
      </c>
      <c r="D62" s="45">
        <v>693836108</v>
      </c>
      <c r="E62" s="45"/>
      <c r="F62" s="45" t="s">
        <v>98</v>
      </c>
      <c r="G62" s="45"/>
      <c r="H62" s="45"/>
    </row>
    <row r="63" spans="1:8" x14ac:dyDescent="0.25">
      <c r="A63" s="47">
        <v>78</v>
      </c>
      <c r="B63" s="47" t="s">
        <v>102</v>
      </c>
      <c r="C63" s="47"/>
      <c r="D63" s="47"/>
      <c r="E63" s="47"/>
      <c r="F63" s="47" t="s">
        <v>98</v>
      </c>
      <c r="G63" s="47"/>
      <c r="H63" s="47"/>
    </row>
    <row r="64" spans="1:8" x14ac:dyDescent="0.25">
      <c r="A64" s="45">
        <v>79</v>
      </c>
      <c r="B64" s="45" t="s">
        <v>103</v>
      </c>
      <c r="C64" s="46" t="s">
        <v>181</v>
      </c>
      <c r="D64" s="50">
        <v>665997156</v>
      </c>
      <c r="E64" s="45"/>
      <c r="F64" s="45" t="s">
        <v>98</v>
      </c>
      <c r="G64" s="45"/>
      <c r="H64" s="45"/>
    </row>
    <row r="65" spans="1:8" x14ac:dyDescent="0.25">
      <c r="A65" s="47">
        <v>80</v>
      </c>
      <c r="B65" s="47" t="s">
        <v>104</v>
      </c>
      <c r="C65" s="35" t="s">
        <v>182</v>
      </c>
      <c r="D65" s="51">
        <v>695603525</v>
      </c>
      <c r="E65" s="47"/>
      <c r="F65" s="47" t="s">
        <v>98</v>
      </c>
      <c r="G65" s="47"/>
      <c r="H65" s="47"/>
    </row>
    <row r="66" spans="1:8" x14ac:dyDescent="0.25">
      <c r="A66" s="45">
        <v>82</v>
      </c>
      <c r="B66" s="45" t="s">
        <v>183</v>
      </c>
      <c r="C66" s="45"/>
      <c r="D66" s="50">
        <v>570888912</v>
      </c>
      <c r="E66" s="45"/>
      <c r="F66" s="45"/>
      <c r="G66" s="45"/>
      <c r="H66" s="45"/>
    </row>
    <row r="67" spans="1:8" x14ac:dyDescent="0.25">
      <c r="A67" s="47">
        <v>83</v>
      </c>
      <c r="B67" s="47" t="s">
        <v>184</v>
      </c>
      <c r="C67" s="35" t="s">
        <v>185</v>
      </c>
      <c r="D67" s="47">
        <v>888128931</v>
      </c>
      <c r="E67" s="47"/>
      <c r="F67" s="47"/>
      <c r="G67" s="47"/>
      <c r="H67" s="49">
        <v>45008</v>
      </c>
    </row>
    <row r="68" spans="1:8" x14ac:dyDescent="0.25">
      <c r="A68" s="45">
        <v>84</v>
      </c>
      <c r="B68" s="45" t="s">
        <v>186</v>
      </c>
      <c r="C68" s="46" t="s">
        <v>187</v>
      </c>
      <c r="D68" s="50">
        <v>516406450</v>
      </c>
      <c r="E68" s="45"/>
      <c r="F68" s="45"/>
      <c r="G68" s="45"/>
      <c r="H68" s="45"/>
    </row>
    <row r="69" spans="1:8" x14ac:dyDescent="0.25">
      <c r="A69" s="47">
        <v>85</v>
      </c>
      <c r="B69" s="47" t="s">
        <v>188</v>
      </c>
      <c r="C69" s="47"/>
      <c r="D69" s="47"/>
      <c r="E69" s="47"/>
      <c r="F69" s="47"/>
      <c r="G69" s="47"/>
      <c r="H69" s="47"/>
    </row>
    <row r="70" spans="1:8" x14ac:dyDescent="0.25">
      <c r="A70" s="45">
        <v>86</v>
      </c>
      <c r="B70" s="45" t="s">
        <v>17</v>
      </c>
      <c r="C70" s="45"/>
      <c r="D70" s="45"/>
      <c r="E70" s="45"/>
      <c r="F70" s="45" t="s">
        <v>7</v>
      </c>
      <c r="G70" s="45"/>
      <c r="H70" s="45"/>
    </row>
    <row r="71" spans="1:8" x14ac:dyDescent="0.25">
      <c r="A71" s="47">
        <v>87</v>
      </c>
      <c r="B71" s="47" t="s">
        <v>189</v>
      </c>
      <c r="C71" s="47"/>
      <c r="D71" s="51">
        <v>601661927</v>
      </c>
      <c r="E71" s="47"/>
      <c r="F71" s="47"/>
      <c r="G71" s="47"/>
      <c r="H71" s="47"/>
    </row>
    <row r="72" spans="1:8" x14ac:dyDescent="0.25">
      <c r="A72" s="45">
        <v>88</v>
      </c>
      <c r="B72" s="45" t="s">
        <v>190</v>
      </c>
      <c r="C72" s="45"/>
      <c r="D72" s="45"/>
      <c r="E72" s="45"/>
      <c r="F72" s="45"/>
      <c r="G72" s="45"/>
      <c r="H72" s="48">
        <v>44993</v>
      </c>
    </row>
    <row r="73" spans="1:8" x14ac:dyDescent="0.25">
      <c r="A73" s="47">
        <v>89</v>
      </c>
      <c r="B73" s="47" t="s">
        <v>108</v>
      </c>
      <c r="C73" s="47"/>
      <c r="D73" s="47"/>
      <c r="E73" s="47"/>
      <c r="F73" s="47" t="s">
        <v>107</v>
      </c>
      <c r="G73" s="47"/>
      <c r="H73" s="47"/>
    </row>
    <row r="74" spans="1:8" x14ac:dyDescent="0.25">
      <c r="A74" s="45">
        <v>90</v>
      </c>
      <c r="B74" s="45" t="s">
        <v>109</v>
      </c>
      <c r="C74" s="45"/>
      <c r="D74" s="45"/>
      <c r="E74" s="45"/>
      <c r="F74" s="45" t="s">
        <v>107</v>
      </c>
      <c r="G74" s="45"/>
      <c r="H74" s="48">
        <v>45008</v>
      </c>
    </row>
    <row r="75" spans="1:8" x14ac:dyDescent="0.25">
      <c r="A75" s="47">
        <v>91</v>
      </c>
      <c r="B75" s="47" t="s">
        <v>110</v>
      </c>
      <c r="C75" s="47"/>
      <c r="D75" s="47"/>
      <c r="E75" s="47"/>
      <c r="F75" s="47" t="s">
        <v>107</v>
      </c>
      <c r="G75" s="47"/>
      <c r="H75" s="49">
        <v>45001</v>
      </c>
    </row>
    <row r="76" spans="1:8" x14ac:dyDescent="0.25">
      <c r="A76" s="45">
        <v>92</v>
      </c>
      <c r="B76" s="45" t="s">
        <v>111</v>
      </c>
      <c r="C76" s="45"/>
      <c r="D76" s="45"/>
      <c r="E76" s="45"/>
      <c r="F76" s="45" t="s">
        <v>107</v>
      </c>
      <c r="G76" s="45"/>
      <c r="H76" s="48">
        <v>45001</v>
      </c>
    </row>
    <row r="77" spans="1:8" x14ac:dyDescent="0.25">
      <c r="A77" s="47">
        <v>93</v>
      </c>
      <c r="B77" s="47" t="s">
        <v>112</v>
      </c>
      <c r="C77" s="47"/>
      <c r="D77" s="47"/>
      <c r="E77" s="47"/>
      <c r="F77" s="47" t="s">
        <v>107</v>
      </c>
      <c r="G77" s="47"/>
      <c r="H77" s="49">
        <v>45001</v>
      </c>
    </row>
    <row r="78" spans="1:8" x14ac:dyDescent="0.25">
      <c r="A78" s="45">
        <v>94</v>
      </c>
      <c r="B78" s="45" t="s">
        <v>191</v>
      </c>
      <c r="C78" s="46" t="s">
        <v>192</v>
      </c>
      <c r="D78" s="45"/>
      <c r="E78" s="45"/>
      <c r="F78" s="45"/>
      <c r="G78" s="45"/>
      <c r="H78" s="48">
        <v>45015</v>
      </c>
    </row>
    <row r="79" spans="1:8" x14ac:dyDescent="0.25">
      <c r="A79" s="47">
        <v>95</v>
      </c>
      <c r="B79" s="47" t="s">
        <v>193</v>
      </c>
      <c r="C79" s="47"/>
      <c r="D79" s="47"/>
      <c r="E79" s="47"/>
      <c r="F79" s="47"/>
      <c r="G79" s="47"/>
      <c r="H79" s="49">
        <v>45015</v>
      </c>
    </row>
    <row r="80" spans="1:8" x14ac:dyDescent="0.25">
      <c r="A80" s="45">
        <v>96</v>
      </c>
      <c r="B80" s="45" t="s">
        <v>131</v>
      </c>
      <c r="C80" s="45"/>
      <c r="D80" s="45">
        <v>695082186</v>
      </c>
      <c r="E80" s="45"/>
      <c r="F80" s="45" t="s">
        <v>130</v>
      </c>
      <c r="G80" s="45"/>
      <c r="H80" s="48">
        <v>45015</v>
      </c>
    </row>
    <row r="81" spans="1:8" x14ac:dyDescent="0.25">
      <c r="A81" s="47">
        <v>98</v>
      </c>
      <c r="B81" s="47" t="s">
        <v>194</v>
      </c>
      <c r="C81" s="47"/>
      <c r="D81" s="47"/>
      <c r="E81" s="47"/>
      <c r="F81" s="47"/>
      <c r="G81" s="47"/>
      <c r="H81" s="47"/>
    </row>
    <row r="82" spans="1:8" x14ac:dyDescent="0.25">
      <c r="A82" s="45">
        <v>100</v>
      </c>
      <c r="B82" s="45" t="s">
        <v>87</v>
      </c>
      <c r="C82" s="45"/>
      <c r="D82" s="45"/>
      <c r="E82" s="45"/>
      <c r="F82" s="45" t="s">
        <v>74</v>
      </c>
      <c r="G82" s="45"/>
      <c r="H82" s="45"/>
    </row>
    <row r="83" spans="1:8" x14ac:dyDescent="0.25">
      <c r="A83" s="47">
        <v>101</v>
      </c>
      <c r="B83" s="47" t="s">
        <v>195</v>
      </c>
      <c r="C83" s="47"/>
      <c r="D83" s="47">
        <v>667504876</v>
      </c>
      <c r="E83" s="47"/>
      <c r="F83" s="47" t="s">
        <v>74</v>
      </c>
      <c r="G83" s="47"/>
      <c r="H83" s="47"/>
    </row>
    <row r="84" spans="1:8" x14ac:dyDescent="0.25">
      <c r="A84" s="45">
        <v>102</v>
      </c>
      <c r="B84" s="45" t="s">
        <v>196</v>
      </c>
      <c r="C84" s="45"/>
      <c r="D84" s="45"/>
      <c r="E84" s="45"/>
      <c r="F84" s="45"/>
      <c r="G84" s="45"/>
      <c r="H84" s="45"/>
    </row>
    <row r="85" spans="1:8" x14ac:dyDescent="0.25">
      <c r="A85" s="47">
        <v>103</v>
      </c>
      <c r="B85" s="47" t="s">
        <v>197</v>
      </c>
      <c r="C85" s="35" t="s">
        <v>198</v>
      </c>
      <c r="D85" s="47"/>
      <c r="E85" s="47"/>
      <c r="F85" s="47"/>
      <c r="G85" s="47"/>
      <c r="H85" s="47"/>
    </row>
    <row r="86" spans="1:8" x14ac:dyDescent="0.25">
      <c r="A86" s="45">
        <v>104</v>
      </c>
      <c r="B86" s="45" t="s">
        <v>126</v>
      </c>
      <c r="C86" s="46" t="s">
        <v>199</v>
      </c>
      <c r="D86" s="45"/>
      <c r="E86" s="45"/>
      <c r="F86" s="45" t="s">
        <v>125</v>
      </c>
      <c r="G86" s="45"/>
      <c r="H86" s="48">
        <v>45002</v>
      </c>
    </row>
    <row r="87" spans="1:8" x14ac:dyDescent="0.25">
      <c r="A87" s="47">
        <v>105</v>
      </c>
      <c r="B87" s="47" t="s">
        <v>200</v>
      </c>
      <c r="C87" s="47"/>
      <c r="D87" s="47"/>
      <c r="E87" s="47"/>
      <c r="F87" s="47"/>
      <c r="G87" s="47"/>
      <c r="H87" s="47"/>
    </row>
    <row r="88" spans="1:8" x14ac:dyDescent="0.25">
      <c r="A88" s="45">
        <v>107</v>
      </c>
      <c r="B88" s="45" t="s">
        <v>127</v>
      </c>
      <c r="C88" s="46" t="s">
        <v>201</v>
      </c>
      <c r="D88" s="45"/>
      <c r="E88" s="45"/>
      <c r="F88" s="45" t="s">
        <v>202</v>
      </c>
      <c r="G88" s="45"/>
      <c r="H88" s="48">
        <v>44995</v>
      </c>
    </row>
    <row r="89" spans="1:8" x14ac:dyDescent="0.25">
      <c r="A89" s="47">
        <v>108</v>
      </c>
      <c r="B89" s="47" t="s">
        <v>128</v>
      </c>
      <c r="C89" s="47"/>
      <c r="D89" s="47"/>
      <c r="E89" s="47"/>
      <c r="F89" s="47" t="s">
        <v>125</v>
      </c>
      <c r="G89" s="47"/>
      <c r="H89" s="47"/>
    </row>
    <row r="90" spans="1:8" x14ac:dyDescent="0.25">
      <c r="A90" s="45">
        <v>109</v>
      </c>
      <c r="B90" s="45" t="s">
        <v>132</v>
      </c>
      <c r="C90" s="45"/>
      <c r="D90" s="45"/>
      <c r="E90" s="45"/>
      <c r="F90" s="45" t="s">
        <v>130</v>
      </c>
      <c r="G90" s="45"/>
      <c r="H90" s="48">
        <v>45016</v>
      </c>
    </row>
    <row r="91" spans="1:8" x14ac:dyDescent="0.25">
      <c r="A91" s="47">
        <v>110</v>
      </c>
      <c r="B91" s="47" t="s">
        <v>133</v>
      </c>
      <c r="C91" s="47"/>
      <c r="D91" s="47"/>
      <c r="E91" s="47"/>
      <c r="F91" s="47" t="s">
        <v>130</v>
      </c>
      <c r="G91" s="47"/>
      <c r="H91" s="49">
        <v>45002</v>
      </c>
    </row>
    <row r="92" spans="1:8" x14ac:dyDescent="0.25">
      <c r="A92" s="45">
        <v>111</v>
      </c>
      <c r="B92" s="45" t="s">
        <v>135</v>
      </c>
      <c r="C92" s="45"/>
      <c r="D92" s="45"/>
      <c r="E92" s="45"/>
      <c r="F92" s="45" t="s">
        <v>130</v>
      </c>
      <c r="G92" s="45"/>
      <c r="H92" s="48">
        <v>45009</v>
      </c>
    </row>
    <row r="93" spans="1:8" x14ac:dyDescent="0.25">
      <c r="A93" s="47">
        <v>112</v>
      </c>
      <c r="B93" s="47" t="s">
        <v>136</v>
      </c>
      <c r="C93" s="47"/>
      <c r="D93" s="47"/>
      <c r="E93" s="47"/>
      <c r="F93" s="47" t="s">
        <v>130</v>
      </c>
      <c r="G93" s="47"/>
      <c r="H93" s="49">
        <v>45002</v>
      </c>
    </row>
    <row r="94" spans="1:8" x14ac:dyDescent="0.25">
      <c r="A94" s="45">
        <v>113</v>
      </c>
      <c r="B94" s="45" t="s">
        <v>203</v>
      </c>
      <c r="C94" s="45"/>
      <c r="D94" s="45"/>
      <c r="E94" s="45"/>
      <c r="F94" s="45" t="s">
        <v>88</v>
      </c>
      <c r="G94" s="45"/>
      <c r="H94" s="48">
        <v>45016</v>
      </c>
    </row>
    <row r="95" spans="1:8" x14ac:dyDescent="0.25">
      <c r="A95" s="47">
        <v>114</v>
      </c>
      <c r="B95" s="47" t="s">
        <v>204</v>
      </c>
      <c r="C95" s="35" t="s">
        <v>199</v>
      </c>
      <c r="D95" s="47">
        <v>511753416</v>
      </c>
      <c r="E95" s="47"/>
      <c r="F95" s="47"/>
      <c r="G95" s="47"/>
      <c r="H95" s="47"/>
    </row>
    <row r="96" spans="1:8" x14ac:dyDescent="0.25">
      <c r="A96" s="45">
        <v>115</v>
      </c>
      <c r="B96" s="45" t="s">
        <v>205</v>
      </c>
      <c r="C96" s="45"/>
      <c r="D96" s="45"/>
      <c r="E96" s="45"/>
      <c r="F96" s="45" t="s">
        <v>115</v>
      </c>
      <c r="G96" s="45"/>
      <c r="H96" s="45"/>
    </row>
    <row r="97" spans="1:8" x14ac:dyDescent="0.25">
      <c r="A97" s="47">
        <v>116</v>
      </c>
      <c r="B97" s="47" t="s">
        <v>206</v>
      </c>
      <c r="C97" s="47"/>
      <c r="D97" s="47">
        <v>721918769</v>
      </c>
      <c r="E97" s="47"/>
      <c r="F97" s="47" t="s">
        <v>115</v>
      </c>
      <c r="G97" s="47"/>
      <c r="H97" s="47"/>
    </row>
    <row r="98" spans="1:8" x14ac:dyDescent="0.25">
      <c r="A98" s="45">
        <v>117</v>
      </c>
      <c r="B98" s="45" t="s">
        <v>207</v>
      </c>
      <c r="C98" s="45"/>
      <c r="D98" s="45">
        <v>506798261</v>
      </c>
      <c r="E98" s="45"/>
      <c r="F98" s="45"/>
      <c r="G98" s="45"/>
      <c r="H98" s="48">
        <v>45007</v>
      </c>
    </row>
    <row r="99" spans="1:8" x14ac:dyDescent="0.25">
      <c r="A99" s="47">
        <v>118</v>
      </c>
      <c r="B99" s="47" t="s">
        <v>208</v>
      </c>
      <c r="C99" s="47"/>
      <c r="D99" s="47">
        <v>572649267</v>
      </c>
      <c r="E99" s="47"/>
      <c r="F99" s="47" t="s">
        <v>64</v>
      </c>
      <c r="G99" s="47"/>
      <c r="H99" s="49">
        <v>45007</v>
      </c>
    </row>
    <row r="100" spans="1:8" x14ac:dyDescent="0.25">
      <c r="A100" s="45">
        <v>119</v>
      </c>
      <c r="B100" s="45" t="s">
        <v>209</v>
      </c>
      <c r="C100" s="45"/>
      <c r="D100" s="45"/>
      <c r="E100" s="45"/>
      <c r="F100" s="45" t="s">
        <v>64</v>
      </c>
      <c r="G100" s="45"/>
      <c r="H100" s="48">
        <v>45028</v>
      </c>
    </row>
    <row r="101" spans="1:8" x14ac:dyDescent="0.25">
      <c r="A101" s="47">
        <v>120</v>
      </c>
      <c r="B101" s="47" t="s">
        <v>210</v>
      </c>
      <c r="C101" s="35" t="s">
        <v>211</v>
      </c>
      <c r="D101" s="47"/>
      <c r="E101" s="47"/>
      <c r="F101" s="47" t="s">
        <v>64</v>
      </c>
      <c r="G101" s="47"/>
      <c r="H101" s="49">
        <v>45027</v>
      </c>
    </row>
    <row r="102" spans="1:8" x14ac:dyDescent="0.25">
      <c r="A102" s="45">
        <v>121</v>
      </c>
      <c r="B102" s="45" t="s">
        <v>212</v>
      </c>
      <c r="C102" s="45"/>
      <c r="D102" s="45"/>
      <c r="E102" s="45"/>
      <c r="F102" s="45" t="s">
        <v>162</v>
      </c>
      <c r="G102" s="45"/>
      <c r="H102" s="48">
        <v>45027</v>
      </c>
    </row>
    <row r="103" spans="1:8" x14ac:dyDescent="0.25">
      <c r="A103" s="47">
        <v>122</v>
      </c>
      <c r="B103" s="47" t="s">
        <v>213</v>
      </c>
      <c r="C103" s="47"/>
      <c r="D103" s="47"/>
      <c r="E103" s="47"/>
      <c r="F103" s="47" t="s">
        <v>115</v>
      </c>
      <c r="G103" s="47"/>
      <c r="H103" s="49">
        <v>45030</v>
      </c>
    </row>
    <row r="104" spans="1:8" x14ac:dyDescent="0.25">
      <c r="A104" s="45">
        <v>123</v>
      </c>
      <c r="B104" s="45" t="s">
        <v>214</v>
      </c>
      <c r="C104" s="45"/>
      <c r="D104" s="45"/>
      <c r="E104" s="45"/>
      <c r="F104" s="45" t="s">
        <v>115</v>
      </c>
      <c r="G104" s="45"/>
      <c r="H104" s="48">
        <v>45030</v>
      </c>
    </row>
    <row r="105" spans="1:8" x14ac:dyDescent="0.25">
      <c r="A105" s="47">
        <v>124</v>
      </c>
      <c r="B105" s="47" t="s">
        <v>215</v>
      </c>
      <c r="C105" s="47"/>
      <c r="D105" s="47"/>
      <c r="E105" s="47"/>
      <c r="F105" s="47"/>
      <c r="G105" s="47"/>
      <c r="H105" s="47"/>
    </row>
    <row r="106" spans="1:8" x14ac:dyDescent="0.25">
      <c r="A106" s="45">
        <v>127</v>
      </c>
      <c r="B106" s="52" t="s">
        <v>216</v>
      </c>
      <c r="C106" s="46" t="s">
        <v>217</v>
      </c>
      <c r="D106" s="45">
        <v>794555634</v>
      </c>
      <c r="E106" s="45"/>
      <c r="F106" s="45" t="s">
        <v>88</v>
      </c>
      <c r="G106" s="45"/>
      <c r="H106" s="45"/>
    </row>
    <row r="107" spans="1:8" x14ac:dyDescent="0.25">
      <c r="A107" s="47">
        <v>128</v>
      </c>
      <c r="B107" s="47" t="s">
        <v>218</v>
      </c>
      <c r="C107" s="47"/>
      <c r="D107" s="47">
        <v>661498122</v>
      </c>
      <c r="E107" s="47"/>
      <c r="F107" s="47" t="s">
        <v>88</v>
      </c>
      <c r="G107" s="47"/>
      <c r="H107" s="47"/>
    </row>
    <row r="108" spans="1:8" x14ac:dyDescent="0.25">
      <c r="A108" s="45">
        <v>129</v>
      </c>
      <c r="B108" s="45" t="s">
        <v>219</v>
      </c>
      <c r="C108" s="46" t="s">
        <v>220</v>
      </c>
      <c r="D108" s="45">
        <v>691737847</v>
      </c>
      <c r="E108" s="45"/>
      <c r="F108" s="45" t="s">
        <v>88</v>
      </c>
      <c r="G108" s="45"/>
      <c r="H108" s="45"/>
    </row>
    <row r="109" spans="1:8" x14ac:dyDescent="0.25">
      <c r="A109" s="47">
        <v>130</v>
      </c>
      <c r="B109" s="47" t="s">
        <v>221</v>
      </c>
      <c r="C109" s="35" t="s">
        <v>222</v>
      </c>
      <c r="D109" s="47">
        <v>669347453</v>
      </c>
      <c r="E109" s="47"/>
      <c r="F109" s="47" t="s">
        <v>88</v>
      </c>
      <c r="G109" s="47"/>
      <c r="H109" s="47"/>
    </row>
    <row r="110" spans="1:8" x14ac:dyDescent="0.25">
      <c r="A110" s="45">
        <v>131</v>
      </c>
      <c r="B110" s="45" t="s">
        <v>223</v>
      </c>
      <c r="C110" s="45"/>
      <c r="D110" s="45"/>
      <c r="E110" s="45"/>
      <c r="F110" s="45" t="s">
        <v>50</v>
      </c>
      <c r="G110" s="45"/>
      <c r="H110" s="45"/>
    </row>
    <row r="111" spans="1:8" x14ac:dyDescent="0.25">
      <c r="A111" s="47">
        <v>132</v>
      </c>
      <c r="B111" s="47" t="s">
        <v>224</v>
      </c>
      <c r="C111" s="47"/>
      <c r="D111" s="47"/>
      <c r="E111" s="47"/>
      <c r="F111" s="47" t="s">
        <v>107</v>
      </c>
      <c r="G111" s="47"/>
      <c r="H111" s="47"/>
    </row>
    <row r="112" spans="1:8" x14ac:dyDescent="0.25">
      <c r="A112" s="45">
        <v>133</v>
      </c>
      <c r="B112" s="45" t="s">
        <v>225</v>
      </c>
      <c r="C112" s="45"/>
      <c r="D112" s="45"/>
      <c r="E112" s="45"/>
      <c r="F112" s="45" t="s">
        <v>115</v>
      </c>
      <c r="G112" s="45"/>
      <c r="H112" s="45"/>
    </row>
    <row r="113" spans="1:8" x14ac:dyDescent="0.25">
      <c r="A113" s="47">
        <v>135</v>
      </c>
      <c r="B113" s="47" t="s">
        <v>226</v>
      </c>
      <c r="C113" s="47"/>
      <c r="D113" s="47"/>
      <c r="E113" s="47"/>
      <c r="F113" s="47" t="s">
        <v>227</v>
      </c>
      <c r="G113" s="47"/>
      <c r="H113" s="47"/>
    </row>
    <row r="114" spans="1:8" x14ac:dyDescent="0.25">
      <c r="A114" s="45">
        <v>136</v>
      </c>
      <c r="B114" s="45" t="s">
        <v>228</v>
      </c>
      <c r="C114" s="45"/>
      <c r="D114" s="45"/>
      <c r="E114" s="45"/>
      <c r="F114" s="45" t="s">
        <v>88</v>
      </c>
      <c r="G114" s="45"/>
      <c r="H114" s="45"/>
    </row>
    <row r="115" spans="1:8" x14ac:dyDescent="0.25">
      <c r="A115" s="47">
        <v>137</v>
      </c>
      <c r="B115" s="47" t="s">
        <v>229</v>
      </c>
      <c r="C115" s="47"/>
      <c r="D115" s="47"/>
      <c r="E115" s="47"/>
      <c r="F115" s="47" t="s">
        <v>50</v>
      </c>
      <c r="G115" s="47"/>
      <c r="H115" s="47"/>
    </row>
    <row r="116" spans="1:8" x14ac:dyDescent="0.25">
      <c r="A116" s="45">
        <v>138</v>
      </c>
      <c r="B116" s="45" t="s">
        <v>230</v>
      </c>
      <c r="C116" s="45"/>
      <c r="D116" s="45"/>
      <c r="E116" s="45"/>
      <c r="F116" s="45"/>
      <c r="G116" s="45"/>
      <c r="H116" s="45"/>
    </row>
    <row r="117" spans="1:8" x14ac:dyDescent="0.25">
      <c r="A117" s="47">
        <v>139</v>
      </c>
      <c r="B117" s="47" t="s">
        <v>231</v>
      </c>
      <c r="C117" s="47"/>
      <c r="D117" s="47"/>
      <c r="E117" s="47"/>
      <c r="F117" s="47" t="s">
        <v>114</v>
      </c>
      <c r="G117" s="47"/>
      <c r="H117" s="47"/>
    </row>
    <row r="118" spans="1:8" x14ac:dyDescent="0.25">
      <c r="A118" s="45">
        <v>140</v>
      </c>
      <c r="B118" s="45" t="s">
        <v>232</v>
      </c>
      <c r="C118" s="45"/>
      <c r="D118" s="45"/>
      <c r="E118" s="45"/>
      <c r="F118" s="45" t="s">
        <v>114</v>
      </c>
      <c r="G118" s="45"/>
      <c r="H118" s="45"/>
    </row>
    <row r="119" spans="1:8" x14ac:dyDescent="0.25">
      <c r="A119" s="47">
        <v>141</v>
      </c>
      <c r="B119" s="47" t="s">
        <v>233</v>
      </c>
      <c r="C119" s="47"/>
      <c r="D119" s="47"/>
      <c r="E119" s="47"/>
      <c r="F119" s="47" t="s">
        <v>114</v>
      </c>
      <c r="G119" s="47"/>
      <c r="H119" s="47"/>
    </row>
    <row r="120" spans="1:8" x14ac:dyDescent="0.25">
      <c r="A120" s="45">
        <v>142</v>
      </c>
      <c r="B120" s="45" t="s">
        <v>234</v>
      </c>
      <c r="C120" s="45"/>
      <c r="D120" s="45"/>
      <c r="E120" s="45"/>
      <c r="F120" s="45" t="s">
        <v>114</v>
      </c>
      <c r="G120" s="45"/>
      <c r="H120" s="45"/>
    </row>
    <row r="121" spans="1:8" x14ac:dyDescent="0.25">
      <c r="A121" s="47">
        <v>143</v>
      </c>
      <c r="B121" s="47" t="s">
        <v>235</v>
      </c>
      <c r="C121" s="35" t="s">
        <v>236</v>
      </c>
      <c r="D121" s="47">
        <v>796000923</v>
      </c>
      <c r="E121" s="47"/>
      <c r="F121" s="47" t="s">
        <v>114</v>
      </c>
      <c r="G121" s="47"/>
      <c r="H121" s="47"/>
    </row>
    <row r="122" spans="1:8" x14ac:dyDescent="0.25">
      <c r="A122" s="45">
        <v>144</v>
      </c>
      <c r="B122" s="45" t="s">
        <v>237</v>
      </c>
      <c r="C122" s="46" t="s">
        <v>238</v>
      </c>
      <c r="D122" s="53">
        <v>730212455</v>
      </c>
      <c r="E122" s="45"/>
      <c r="F122" s="45"/>
      <c r="G122" s="45"/>
      <c r="H122" s="45"/>
    </row>
    <row r="123" spans="1:8" x14ac:dyDescent="0.25">
      <c r="A123" s="47">
        <v>145</v>
      </c>
      <c r="B123" s="47" t="s">
        <v>239</v>
      </c>
      <c r="C123" s="35" t="s">
        <v>240</v>
      </c>
      <c r="D123" s="43">
        <v>669846843</v>
      </c>
      <c r="E123" s="47"/>
      <c r="F123" s="47"/>
      <c r="G123" s="47"/>
      <c r="H123" s="47"/>
    </row>
    <row r="124" spans="1:8" x14ac:dyDescent="0.25">
      <c r="A124" s="45">
        <v>146</v>
      </c>
      <c r="B124" s="45" t="s">
        <v>241</v>
      </c>
      <c r="C124" s="45"/>
      <c r="D124" s="45"/>
      <c r="E124" s="45"/>
      <c r="F124" s="45" t="s">
        <v>21</v>
      </c>
      <c r="G124" s="45"/>
      <c r="H124" s="45"/>
    </row>
    <row r="125" spans="1:8" x14ac:dyDescent="0.25">
      <c r="A125" s="47">
        <v>147</v>
      </c>
      <c r="B125" s="47" t="s">
        <v>242</v>
      </c>
      <c r="C125" s="47"/>
      <c r="D125" s="47"/>
      <c r="E125" s="47"/>
      <c r="F125" s="47" t="s">
        <v>125</v>
      </c>
      <c r="G125" s="47"/>
      <c r="H125" s="47"/>
    </row>
    <row r="126" spans="1:8" x14ac:dyDescent="0.25">
      <c r="A126" s="45">
        <v>148</v>
      </c>
      <c r="B126" s="45" t="s">
        <v>243</v>
      </c>
      <c r="C126" s="45" t="s">
        <v>238</v>
      </c>
      <c r="D126" s="53">
        <v>730212455</v>
      </c>
      <c r="E126" s="45"/>
      <c r="F126" s="45" t="s">
        <v>50</v>
      </c>
      <c r="G126" s="45"/>
      <c r="H126" s="45"/>
    </row>
    <row r="127" spans="1:8" x14ac:dyDescent="0.25">
      <c r="A127" s="47">
        <v>149</v>
      </c>
      <c r="B127" s="47" t="s">
        <v>244</v>
      </c>
      <c r="C127" s="47"/>
      <c r="D127" s="47">
        <v>690017016</v>
      </c>
      <c r="E127" s="47"/>
      <c r="F127" s="47" t="s">
        <v>105</v>
      </c>
      <c r="G127" s="47"/>
      <c r="H127" s="47"/>
    </row>
    <row r="128" spans="1:8" x14ac:dyDescent="0.25">
      <c r="A128" s="45">
        <v>150</v>
      </c>
      <c r="B128" s="45" t="s">
        <v>245</v>
      </c>
      <c r="C128" s="53" t="s">
        <v>246</v>
      </c>
      <c r="D128" s="53">
        <v>669820669</v>
      </c>
      <c r="E128" s="45"/>
      <c r="F128" s="45" t="s">
        <v>42</v>
      </c>
      <c r="G128" s="45"/>
      <c r="H128" s="45"/>
    </row>
    <row r="129" spans="1:8" x14ac:dyDescent="0.25">
      <c r="A129" s="47">
        <v>151</v>
      </c>
      <c r="B129" s="47" t="s">
        <v>247</v>
      </c>
      <c r="C129" s="47"/>
      <c r="D129" s="47"/>
      <c r="E129" s="47"/>
      <c r="F129" s="47" t="s">
        <v>30</v>
      </c>
      <c r="G129" s="47"/>
      <c r="H129" s="47"/>
    </row>
    <row r="130" spans="1:8" x14ac:dyDescent="0.25">
      <c r="A130" s="45">
        <v>152</v>
      </c>
      <c r="B130" s="45" t="s">
        <v>248</v>
      </c>
      <c r="C130" s="45"/>
      <c r="D130" s="45"/>
      <c r="E130" s="45"/>
      <c r="F130" s="45" t="s">
        <v>30</v>
      </c>
      <c r="G130" s="45"/>
      <c r="H130" s="45"/>
    </row>
    <row r="131" spans="1:8" x14ac:dyDescent="0.25">
      <c r="A131" s="47">
        <v>153</v>
      </c>
      <c r="B131" s="47" t="s">
        <v>249</v>
      </c>
      <c r="C131" s="47"/>
      <c r="D131" s="47"/>
      <c r="E131" s="47"/>
      <c r="F131" s="47" t="s">
        <v>30</v>
      </c>
      <c r="G131" s="47"/>
      <c r="H131" s="47"/>
    </row>
    <row r="132" spans="1:8" x14ac:dyDescent="0.25">
      <c r="A132" s="45">
        <v>154</v>
      </c>
      <c r="B132" s="45" t="s">
        <v>250</v>
      </c>
      <c r="C132" s="45"/>
      <c r="D132" s="45"/>
      <c r="E132" s="45"/>
      <c r="F132" s="45" t="s">
        <v>90</v>
      </c>
      <c r="G132" s="45"/>
      <c r="H132" s="45"/>
    </row>
    <row r="133" spans="1:8" x14ac:dyDescent="0.25">
      <c r="A133" s="47">
        <v>155</v>
      </c>
      <c r="B133" s="47" t="s">
        <v>251</v>
      </c>
      <c r="C133" s="47"/>
      <c r="D133" s="47"/>
      <c r="E133" s="47"/>
      <c r="F133" s="47" t="s">
        <v>90</v>
      </c>
      <c r="G133" s="47"/>
      <c r="H133" s="47"/>
    </row>
    <row r="134" spans="1:8" x14ac:dyDescent="0.25">
      <c r="A134" s="45">
        <v>156</v>
      </c>
      <c r="B134" s="45" t="s">
        <v>252</v>
      </c>
      <c r="C134" s="45"/>
      <c r="D134" s="45"/>
      <c r="E134" s="45"/>
      <c r="F134" s="45" t="s">
        <v>90</v>
      </c>
      <c r="G134" s="45"/>
      <c r="H134" s="45"/>
    </row>
    <row r="135" spans="1:8" x14ac:dyDescent="0.25">
      <c r="A135" s="47">
        <v>157</v>
      </c>
      <c r="B135" s="47" t="s">
        <v>253</v>
      </c>
      <c r="C135" s="35" t="s">
        <v>254</v>
      </c>
      <c r="D135" s="47">
        <v>783703028</v>
      </c>
      <c r="E135" s="47"/>
      <c r="F135" s="47" t="s">
        <v>90</v>
      </c>
      <c r="G135" s="47"/>
      <c r="H135" s="47"/>
    </row>
    <row r="136" spans="1:8" x14ac:dyDescent="0.25">
      <c r="A136" s="45">
        <v>158</v>
      </c>
      <c r="B136" s="45" t="s">
        <v>255</v>
      </c>
      <c r="C136" s="45"/>
      <c r="D136" s="45">
        <v>782667182</v>
      </c>
      <c r="E136" s="45"/>
      <c r="F136" s="45" t="s">
        <v>105</v>
      </c>
      <c r="G136" s="45"/>
      <c r="H136" s="45"/>
    </row>
    <row r="137" spans="1:8" x14ac:dyDescent="0.25">
      <c r="A137" s="47">
        <v>159</v>
      </c>
      <c r="B137" s="47" t="s">
        <v>256</v>
      </c>
      <c r="C137" s="47"/>
      <c r="D137" s="47">
        <v>722011202</v>
      </c>
      <c r="E137" s="47"/>
      <c r="F137" s="47" t="s">
        <v>105</v>
      </c>
      <c r="G137" s="47"/>
      <c r="H137" s="47"/>
    </row>
    <row r="138" spans="1:8" x14ac:dyDescent="0.25">
      <c r="A138" s="45">
        <v>160</v>
      </c>
      <c r="B138" s="45" t="s">
        <v>257</v>
      </c>
      <c r="C138" s="45"/>
      <c r="D138" s="45">
        <v>501525996</v>
      </c>
      <c r="E138" s="45"/>
      <c r="F138" s="45" t="s">
        <v>105</v>
      </c>
      <c r="G138" s="45"/>
      <c r="H138" s="45"/>
    </row>
    <row r="139" spans="1:8" x14ac:dyDescent="0.25">
      <c r="A139" s="47">
        <v>161</v>
      </c>
      <c r="B139" s="47" t="s">
        <v>101</v>
      </c>
      <c r="C139" s="47"/>
      <c r="D139" s="47"/>
      <c r="E139" s="47"/>
      <c r="F139" s="47" t="s">
        <v>105</v>
      </c>
      <c r="G139" s="47"/>
      <c r="H139" s="47"/>
    </row>
  </sheetData>
  <phoneticPr fontId="1" type="noConversion"/>
  <conditionalFormatting sqref="B208:B1048576 B1">
    <cfRule type="duplicateValues" dxfId="11" priority="1"/>
  </conditionalFormatting>
  <hyperlinks>
    <hyperlink ref="C2" r:id="rId1" display="mailto:przykladowyemail@domena.com" xr:uid="{05AC58BF-D098-4099-B156-109E965E832A}"/>
    <hyperlink ref="C8" r:id="rId2" display="mailto:dominika.marcinkaniec@vp.ppl" xr:uid="{95A250C9-CECF-4BF6-BB25-31C0333829A4}"/>
    <hyperlink ref="C13" r:id="rId3" display="mailto:samantaa.lesniarek@gmail.com" xr:uid="{473A26CA-7EF8-4DF6-B9E4-2989791037BD}"/>
    <hyperlink ref="C19" r:id="rId4" display="mailto:aklonekq@wp.pl" xr:uid="{9F989F06-92E4-475E-8781-7E0D21914782}"/>
    <hyperlink ref="C24" r:id="rId5" display="mailto:zosiaszymczak04@gmail.com" xr:uid="{6D1B96F4-7FE2-4D1F-AD5B-F7BDA327612F}"/>
    <hyperlink ref="C26" r:id="rId6" display="mailto:Gruchociakjulia@gmail.com" xr:uid="{55B9CC7F-2046-46CB-B58C-28D0C08A5F50}"/>
    <hyperlink ref="C62" r:id="rId7" display="mailto:natuska-k@o2.pl" xr:uid="{19E1C1BD-25BB-42B5-9AB6-5601E6517F27}"/>
    <hyperlink ref="C64" r:id="rId8" display="mailto:kasia21272@wp.pl" xr:uid="{97C9E27D-1D31-4D39-A573-CD806B927B2E}"/>
    <hyperlink ref="C65" r:id="rId9" display="mailto:Marta.krajka1@o2.pl" xr:uid="{8DF60365-8E09-4CD8-AC8F-EDFF999BECD5}"/>
    <hyperlink ref="C67" r:id="rId10" display="mailto:Daria.talaga@onet.pl" xr:uid="{51679528-025A-4A84-B125-5EE77D534B51}"/>
    <hyperlink ref="C68" r:id="rId11" display="mailto:kika3757@gmail.com" xr:uid="{38CB6AAD-37A5-4754-B650-7083104C1BC0}"/>
    <hyperlink ref="C78" r:id="rId12" display="mailto:lidia-kosmacinska@wp.pl" xr:uid="{9628AFCD-5619-4B27-B25A-A2AFE8DC13DD}"/>
    <hyperlink ref="C85" r:id="rId13" display="mailto:kuczynska212@gmail.com" xr:uid="{5E90EDF5-8922-4FA7-B39E-6A12CC7AEE66}"/>
    <hyperlink ref="C86" r:id="rId14" display="mailto:Ourpassion_rollerskate@onet.pl" xr:uid="{AFCF3391-961A-46BB-9AB1-0DD2B7278315}"/>
    <hyperlink ref="C88" r:id="rId15" display="mailto:aneta.j@interia.eu" xr:uid="{8E104D38-8AB4-4858-AD2E-64A8C6761140}"/>
    <hyperlink ref="C95" r:id="rId16" display="mailto:Ourpassion_rollerskate@onet.pl" xr:uid="{D7A2A22D-1B2B-450F-8673-8C3C086DD1CE}"/>
    <hyperlink ref="C101" r:id="rId17" display="mailto:natasza.brylewska@gmail.com" xr:uid="{448A14FA-49C8-4A82-9533-CA546F433285}"/>
    <hyperlink ref="C106" r:id="rId18" display="mailto:martaptaszynska05@gmail.com" xr:uid="{EE8461BF-53CD-482A-896E-6734A7CDD2E4}"/>
    <hyperlink ref="C108" r:id="rId19" display="mailto:lutypatrycja0@gmail.com" xr:uid="{3175DCC6-B2AD-45A1-8A44-B5C40A684EFE}"/>
    <hyperlink ref="C109" r:id="rId20" display="mailto:Julkapazola@gmail.com" xr:uid="{DC431F75-4EA0-47A5-93A5-91C70FACBBBE}"/>
    <hyperlink ref="C121" r:id="rId21" display="mailto:ala@krobia.net.pl" xr:uid="{717871AE-19D8-43A5-872E-ABCF944F7AC0}"/>
    <hyperlink ref="C122" r:id="rId22" display="mailto:dominikasarbinowska87@gmail.com" xr:uid="{708E24BB-F33D-4DE4-8D0B-20D65C84AD71}"/>
    <hyperlink ref="C123" r:id="rId23" display="mailto:nikola.rydian@spoko.pl" xr:uid="{10A3AEBC-63B6-4280-B1CA-18E2CE86E5B0}"/>
    <hyperlink ref="C135" r:id="rId24" display="mailto:anna.grzemska84@interia.pl" xr:uid="{F672879F-BAD8-4350-8862-B988DA5C95E0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28" name="Button 1">
              <controlPr defaultSize="0" print="0" autoFill="0" autoPict="0" macro="[0]!ListPersonGroups">
                <anchor moveWithCells="1" sizeWithCells="1">
                  <from>
                    <xdr:col>9</xdr:col>
                    <xdr:colOff>114300</xdr:colOff>
                    <xdr:row>4</xdr:row>
                    <xdr:rowOff>76200</xdr:rowOff>
                  </from>
                  <to>
                    <xdr:col>10</xdr:col>
                    <xdr:colOff>114300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29" name="Button 2">
              <controlPr defaultSize="0" print="0" autoFill="0" autoPict="0" macro="[0]!ClearPersonName">
                <anchor moveWithCells="1" sizeWithCells="1">
                  <from>
                    <xdr:col>9</xdr:col>
                    <xdr:colOff>114300</xdr:colOff>
                    <xdr:row>6</xdr:row>
                    <xdr:rowOff>180975</xdr:rowOff>
                  </from>
                  <to>
                    <xdr:col>10</xdr:col>
                    <xdr:colOff>114300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30" name="Button 3">
              <controlPr defaultSize="0" print="0" autoFill="0" autoPict="0" macro="[0]!AddNewPerson">
                <anchor moveWithCells="1" sizeWithCells="1">
                  <from>
                    <xdr:col>9</xdr:col>
                    <xdr:colOff>123825</xdr:colOff>
                    <xdr:row>2</xdr:row>
                    <xdr:rowOff>0</xdr:rowOff>
                  </from>
                  <to>
                    <xdr:col>10</xdr:col>
                    <xdr:colOff>123825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3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theme="9" tint="-0.249977111117893"/>
  </sheetPr>
  <dimension ref="A1:J37"/>
  <sheetViews>
    <sheetView zoomScaleNormal="100" workbookViewId="0">
      <selection activeCell="B30" sqref="B30"/>
    </sheetView>
  </sheetViews>
  <sheetFormatPr defaultColWidth="8.85546875" defaultRowHeight="15" x14ac:dyDescent="0.25"/>
  <cols>
    <col min="1" max="1" width="4.85546875" customWidth="1"/>
    <col min="2" max="2" width="9" customWidth="1"/>
    <col min="3" max="3" width="22.42578125" bestFit="1" customWidth="1"/>
    <col min="4" max="4" width="12.42578125" bestFit="1" customWidth="1"/>
    <col min="5" max="5" width="15.85546875" customWidth="1"/>
    <col min="6" max="6" width="14" customWidth="1"/>
    <col min="7" max="7" width="19.85546875" bestFit="1" customWidth="1"/>
    <col min="8" max="8" width="13.28515625" customWidth="1"/>
    <col min="9" max="10" width="16.28515625" customWidth="1"/>
  </cols>
  <sheetData>
    <row r="1" spans="1:10" x14ac:dyDescent="0.25">
      <c r="A1" s="2" t="s">
        <v>137</v>
      </c>
      <c r="B1" s="2" t="s">
        <v>258</v>
      </c>
      <c r="C1" s="2" t="s">
        <v>259</v>
      </c>
      <c r="D1" s="2" t="s">
        <v>260</v>
      </c>
      <c r="E1" s="2" t="s">
        <v>261</v>
      </c>
      <c r="F1" s="2" t="s">
        <v>262</v>
      </c>
      <c r="G1" s="2" t="s">
        <v>3</v>
      </c>
      <c r="H1" s="2" t="s">
        <v>263</v>
      </c>
      <c r="I1" s="2" t="s">
        <v>264</v>
      </c>
      <c r="J1" s="2" t="s">
        <v>265</v>
      </c>
    </row>
    <row r="2" spans="1:10" x14ac:dyDescent="0.25">
      <c r="A2">
        <v>1</v>
      </c>
      <c r="B2" t="s">
        <v>6</v>
      </c>
      <c r="C2" t="s">
        <v>345</v>
      </c>
      <c r="D2" t="s">
        <v>266</v>
      </c>
      <c r="E2" s="6">
        <v>0.66666666666666663</v>
      </c>
      <c r="F2" s="6">
        <v>0.70833333333333337</v>
      </c>
      <c r="G2" t="s">
        <v>267</v>
      </c>
      <c r="H2">
        <v>7</v>
      </c>
      <c r="I2">
        <f>COUNTIF(Kursantki!F:F,B2)</f>
        <v>0</v>
      </c>
      <c r="J2">
        <f>H2-I2</f>
        <v>7</v>
      </c>
    </row>
    <row r="3" spans="1:10" x14ac:dyDescent="0.25">
      <c r="A3">
        <v>2</v>
      </c>
      <c r="B3" t="s">
        <v>7</v>
      </c>
      <c r="C3" t="s">
        <v>268</v>
      </c>
      <c r="D3" t="s">
        <v>266</v>
      </c>
      <c r="E3" s="6">
        <v>0.71180555555555547</v>
      </c>
      <c r="F3" s="6">
        <v>0.75347222222222221</v>
      </c>
      <c r="G3" t="s">
        <v>269</v>
      </c>
      <c r="H3">
        <v>8</v>
      </c>
      <c r="I3">
        <f>COUNTIF(Kursantki!F:F,B3)</f>
        <v>6</v>
      </c>
      <c r="J3">
        <f t="shared" ref="J3:J37" si="0">H3-I3</f>
        <v>2</v>
      </c>
    </row>
    <row r="4" spans="1:10" x14ac:dyDescent="0.25">
      <c r="A4">
        <v>3</v>
      </c>
      <c r="B4" t="s">
        <v>20</v>
      </c>
      <c r="C4" t="s">
        <v>270</v>
      </c>
      <c r="D4" t="s">
        <v>266</v>
      </c>
      <c r="E4" s="6">
        <v>0.75694444444444453</v>
      </c>
      <c r="F4" s="6">
        <v>0.79861111111111116</v>
      </c>
      <c r="G4" t="s">
        <v>269</v>
      </c>
      <c r="H4">
        <v>1</v>
      </c>
      <c r="I4">
        <f>COUNTIF(Kursantki!F:F,B4)</f>
        <v>0</v>
      </c>
      <c r="J4">
        <f t="shared" si="0"/>
        <v>1</v>
      </c>
    </row>
    <row r="5" spans="1:10" x14ac:dyDescent="0.25">
      <c r="A5">
        <v>4</v>
      </c>
      <c r="B5" t="s">
        <v>21</v>
      </c>
      <c r="C5" t="s">
        <v>271</v>
      </c>
      <c r="D5" t="s">
        <v>266</v>
      </c>
      <c r="E5" s="6">
        <v>0.80555555555555547</v>
      </c>
      <c r="F5" s="6">
        <v>0.84722222222222221</v>
      </c>
      <c r="G5" t="s">
        <v>272</v>
      </c>
      <c r="H5">
        <v>8</v>
      </c>
      <c r="I5">
        <f>COUNTIF(Kursantki!F:F,B5)</f>
        <v>5</v>
      </c>
      <c r="J5">
        <f t="shared" si="0"/>
        <v>3</v>
      </c>
    </row>
    <row r="6" spans="1:10" x14ac:dyDescent="0.25">
      <c r="A6">
        <v>5</v>
      </c>
      <c r="B6" t="s">
        <v>30</v>
      </c>
      <c r="C6" t="s">
        <v>273</v>
      </c>
      <c r="D6" t="s">
        <v>266</v>
      </c>
      <c r="E6" s="6">
        <v>0.85416666666666663</v>
      </c>
      <c r="F6" s="6">
        <v>0.89583333333333337</v>
      </c>
      <c r="G6" t="s">
        <v>272</v>
      </c>
      <c r="H6">
        <v>7</v>
      </c>
      <c r="I6">
        <f>COUNTIF(Kursantki!F:F,B6)</f>
        <v>3</v>
      </c>
      <c r="J6">
        <f t="shared" si="0"/>
        <v>4</v>
      </c>
    </row>
    <row r="7" spans="1:10" x14ac:dyDescent="0.25">
      <c r="A7">
        <v>6</v>
      </c>
      <c r="B7" t="s">
        <v>274</v>
      </c>
      <c r="D7" t="s">
        <v>266</v>
      </c>
      <c r="E7" s="6"/>
      <c r="F7" s="6"/>
      <c r="H7">
        <v>7</v>
      </c>
      <c r="I7">
        <f>COUNTIF(Kursantki!F:F,B7)</f>
        <v>0</v>
      </c>
      <c r="J7">
        <f t="shared" si="0"/>
        <v>7</v>
      </c>
    </row>
    <row r="8" spans="1:10" x14ac:dyDescent="0.25">
      <c r="A8">
        <v>7</v>
      </c>
      <c r="B8" t="s">
        <v>162</v>
      </c>
      <c r="C8" s="7"/>
      <c r="D8" s="7" t="s">
        <v>275</v>
      </c>
      <c r="E8" s="6"/>
      <c r="F8" s="6"/>
      <c r="H8">
        <v>7</v>
      </c>
      <c r="I8">
        <f>COUNTIF(Kursantki!F:F,B8)</f>
        <v>3</v>
      </c>
      <c r="J8">
        <f t="shared" si="0"/>
        <v>4</v>
      </c>
    </row>
    <row r="9" spans="1:10" x14ac:dyDescent="0.25">
      <c r="A9">
        <v>8</v>
      </c>
      <c r="B9" t="s">
        <v>164</v>
      </c>
      <c r="C9" s="7"/>
      <c r="D9" s="7" t="s">
        <v>275</v>
      </c>
      <c r="E9" s="6"/>
      <c r="F9" s="6"/>
      <c r="H9">
        <v>7</v>
      </c>
      <c r="I9">
        <f>COUNTIF(Kursantki!F:F,B9)</f>
        <v>1</v>
      </c>
      <c r="J9">
        <f t="shared" si="0"/>
        <v>6</v>
      </c>
    </row>
    <row r="10" spans="1:10" x14ac:dyDescent="0.25">
      <c r="A10">
        <v>9</v>
      </c>
      <c r="B10" t="s">
        <v>276</v>
      </c>
      <c r="C10" s="7"/>
      <c r="D10" t="s">
        <v>275</v>
      </c>
      <c r="E10" s="6"/>
      <c r="F10" s="6"/>
      <c r="H10">
        <v>7</v>
      </c>
      <c r="I10">
        <f>COUNTIF(Kursantki!F:F,B10)</f>
        <v>0</v>
      </c>
      <c r="J10">
        <f t="shared" si="0"/>
        <v>7</v>
      </c>
    </row>
    <row r="11" spans="1:10" x14ac:dyDescent="0.25">
      <c r="A11">
        <v>10</v>
      </c>
      <c r="B11" t="s">
        <v>32</v>
      </c>
      <c r="C11" t="s">
        <v>277</v>
      </c>
      <c r="D11" t="s">
        <v>275</v>
      </c>
      <c r="E11" s="6">
        <v>0.82638888888888884</v>
      </c>
      <c r="F11" s="6">
        <v>0.86805555555555547</v>
      </c>
      <c r="G11" t="s">
        <v>278</v>
      </c>
      <c r="H11">
        <v>7</v>
      </c>
      <c r="I11">
        <f>COUNTIF(Kursantki!F:F,B11)</f>
        <v>3</v>
      </c>
      <c r="J11">
        <f t="shared" si="0"/>
        <v>4</v>
      </c>
    </row>
    <row r="12" spans="1:10" x14ac:dyDescent="0.25">
      <c r="A12">
        <v>11</v>
      </c>
      <c r="B12" t="s">
        <v>42</v>
      </c>
      <c r="C12" t="s">
        <v>279</v>
      </c>
      <c r="D12" t="s">
        <v>275</v>
      </c>
      <c r="E12" s="6">
        <v>0.875</v>
      </c>
      <c r="F12" s="6">
        <v>0.91666666666666663</v>
      </c>
      <c r="G12" t="s">
        <v>278</v>
      </c>
      <c r="H12">
        <v>7</v>
      </c>
      <c r="I12">
        <f>COUNTIF(Kursantki!F:F,B12)</f>
        <v>5</v>
      </c>
      <c r="J12">
        <f t="shared" si="0"/>
        <v>2</v>
      </c>
    </row>
    <row r="13" spans="1:10" x14ac:dyDescent="0.25">
      <c r="A13">
        <v>12</v>
      </c>
      <c r="B13" t="s">
        <v>50</v>
      </c>
      <c r="C13" s="7" t="s">
        <v>280</v>
      </c>
      <c r="D13" t="s">
        <v>281</v>
      </c>
      <c r="E13" s="6">
        <v>0.625</v>
      </c>
      <c r="F13" s="6">
        <v>0.66666666666666663</v>
      </c>
      <c r="G13" t="s">
        <v>269</v>
      </c>
      <c r="H13">
        <v>7</v>
      </c>
      <c r="I13">
        <f>COUNTIF(Kursantki!F:F,B13)</f>
        <v>6</v>
      </c>
      <c r="J13">
        <f t="shared" si="0"/>
        <v>1</v>
      </c>
    </row>
    <row r="14" spans="1:10" x14ac:dyDescent="0.25">
      <c r="A14">
        <v>13</v>
      </c>
      <c r="B14" t="s">
        <v>62</v>
      </c>
      <c r="C14" t="s">
        <v>282</v>
      </c>
      <c r="D14" t="s">
        <v>281</v>
      </c>
      <c r="E14" s="6">
        <v>0.66666666666666663</v>
      </c>
      <c r="F14" s="6">
        <v>0.70833333333333337</v>
      </c>
      <c r="G14" t="s">
        <v>269</v>
      </c>
      <c r="H14">
        <v>8</v>
      </c>
      <c r="I14">
        <f>COUNTIF(Kursantki!F:F,B14)</f>
        <v>0</v>
      </c>
      <c r="J14">
        <f t="shared" si="0"/>
        <v>8</v>
      </c>
    </row>
    <row r="15" spans="1:10" x14ac:dyDescent="0.25">
      <c r="A15">
        <v>14</v>
      </c>
      <c r="B15" t="s">
        <v>64</v>
      </c>
      <c r="C15" t="s">
        <v>283</v>
      </c>
      <c r="D15" t="s">
        <v>281</v>
      </c>
      <c r="E15" s="6">
        <v>0.71527777777777779</v>
      </c>
      <c r="F15" s="6">
        <v>0.75694444444444453</v>
      </c>
      <c r="G15" t="s">
        <v>269</v>
      </c>
      <c r="H15">
        <v>8</v>
      </c>
      <c r="I15">
        <f>COUNTIF(Kursantki!F:F,B15)</f>
        <v>4</v>
      </c>
      <c r="J15">
        <f t="shared" si="0"/>
        <v>4</v>
      </c>
    </row>
    <row r="16" spans="1:10" x14ac:dyDescent="0.25">
      <c r="A16">
        <v>15</v>
      </c>
      <c r="B16" t="s">
        <v>74</v>
      </c>
      <c r="C16" t="s">
        <v>284</v>
      </c>
      <c r="D16" t="s">
        <v>281</v>
      </c>
      <c r="E16" s="6">
        <v>0.75694444444444453</v>
      </c>
      <c r="F16" s="6">
        <v>0.79861111111111116</v>
      </c>
      <c r="G16" t="s">
        <v>269</v>
      </c>
      <c r="H16">
        <v>7</v>
      </c>
      <c r="I16">
        <f>COUNTIF(Kursantki!F:F,B16)</f>
        <v>8</v>
      </c>
      <c r="J16">
        <f t="shared" si="0"/>
        <v>-1</v>
      </c>
    </row>
    <row r="17" spans="1:10" x14ac:dyDescent="0.25">
      <c r="A17">
        <v>16</v>
      </c>
      <c r="B17" t="s">
        <v>88</v>
      </c>
      <c r="C17" t="s">
        <v>285</v>
      </c>
      <c r="D17" t="s">
        <v>281</v>
      </c>
      <c r="E17" s="6">
        <v>0.80555555555555547</v>
      </c>
      <c r="F17" s="6">
        <v>0.84722222222222221</v>
      </c>
      <c r="G17" t="s">
        <v>286</v>
      </c>
      <c r="H17">
        <v>8</v>
      </c>
      <c r="I17">
        <f>COUNTIF(Kursantki!F:F,B17)</f>
        <v>7</v>
      </c>
      <c r="J17">
        <f t="shared" si="0"/>
        <v>1</v>
      </c>
    </row>
    <row r="18" spans="1:10" x14ac:dyDescent="0.25">
      <c r="A18">
        <v>17</v>
      </c>
      <c r="B18" t="s">
        <v>90</v>
      </c>
      <c r="C18" t="s">
        <v>287</v>
      </c>
      <c r="D18" t="s">
        <v>281</v>
      </c>
      <c r="E18" s="6">
        <v>0.85416666666666663</v>
      </c>
      <c r="F18" s="6">
        <v>0.89583333333333337</v>
      </c>
      <c r="G18" t="s">
        <v>286</v>
      </c>
      <c r="H18">
        <v>7</v>
      </c>
      <c r="I18">
        <f>COUNTIF(Kursantki!F:F,B18)</f>
        <v>4</v>
      </c>
      <c r="J18">
        <f t="shared" si="0"/>
        <v>3</v>
      </c>
    </row>
    <row r="19" spans="1:10" x14ac:dyDescent="0.25">
      <c r="A19">
        <v>18</v>
      </c>
      <c r="B19" t="s">
        <v>91</v>
      </c>
      <c r="C19" t="s">
        <v>288</v>
      </c>
      <c r="D19" t="s">
        <v>281</v>
      </c>
      <c r="E19" s="6">
        <v>0.89583333333333337</v>
      </c>
      <c r="F19" s="6">
        <v>0.9375</v>
      </c>
      <c r="G19" t="s">
        <v>286</v>
      </c>
      <c r="H19">
        <v>7</v>
      </c>
      <c r="I19">
        <f>COUNTIF(Kursantki!F:F,B19)</f>
        <v>6</v>
      </c>
      <c r="J19">
        <f t="shared" si="0"/>
        <v>1</v>
      </c>
    </row>
    <row r="20" spans="1:10" x14ac:dyDescent="0.25">
      <c r="A20">
        <v>19</v>
      </c>
      <c r="B20" t="s">
        <v>289</v>
      </c>
      <c r="D20" t="s">
        <v>290</v>
      </c>
      <c r="E20" s="6"/>
      <c r="F20" s="6"/>
      <c r="H20">
        <v>8</v>
      </c>
      <c r="I20">
        <f>COUNTIF(Kursantki!F:F,B20)</f>
        <v>0</v>
      </c>
      <c r="J20">
        <f t="shared" si="0"/>
        <v>8</v>
      </c>
    </row>
    <row r="21" spans="1:10" x14ac:dyDescent="0.25">
      <c r="A21">
        <v>20</v>
      </c>
      <c r="B21" t="s">
        <v>98</v>
      </c>
      <c r="C21" t="s">
        <v>291</v>
      </c>
      <c r="D21" t="s">
        <v>290</v>
      </c>
      <c r="E21" s="6">
        <v>0.72222222222222221</v>
      </c>
      <c r="F21" s="6">
        <v>0.76388888888888884</v>
      </c>
      <c r="G21" t="s">
        <v>292</v>
      </c>
      <c r="H21">
        <v>8</v>
      </c>
      <c r="I21">
        <f>COUNTIF(Kursantki!F:F,B21)</f>
        <v>5</v>
      </c>
      <c r="J21">
        <f t="shared" si="0"/>
        <v>3</v>
      </c>
    </row>
    <row r="22" spans="1:10" x14ac:dyDescent="0.25">
      <c r="A22">
        <v>21</v>
      </c>
      <c r="B22" t="s">
        <v>105</v>
      </c>
      <c r="C22" t="s">
        <v>293</v>
      </c>
      <c r="D22" t="s">
        <v>290</v>
      </c>
      <c r="E22" s="6">
        <v>0.76388888888888884</v>
      </c>
      <c r="F22" s="6">
        <v>0.80555555555555547</v>
      </c>
      <c r="G22" t="s">
        <v>292</v>
      </c>
      <c r="H22">
        <v>7</v>
      </c>
      <c r="I22">
        <f>COUNTIF(Kursantki!F:F,B22)</f>
        <v>5</v>
      </c>
      <c r="J22">
        <f t="shared" si="0"/>
        <v>2</v>
      </c>
    </row>
    <row r="23" spans="1:10" x14ac:dyDescent="0.25">
      <c r="A23">
        <v>22</v>
      </c>
      <c r="B23" t="s">
        <v>107</v>
      </c>
      <c r="C23" t="s">
        <v>294</v>
      </c>
      <c r="D23" t="s">
        <v>290</v>
      </c>
      <c r="E23" s="6">
        <v>0.8125</v>
      </c>
      <c r="F23" s="6">
        <v>0.85416666666666663</v>
      </c>
      <c r="G23" t="s">
        <v>292</v>
      </c>
      <c r="H23">
        <v>7</v>
      </c>
      <c r="I23">
        <f>COUNTIF(Kursantki!F:F,B23)</f>
        <v>6</v>
      </c>
      <c r="J23">
        <f t="shared" si="0"/>
        <v>1</v>
      </c>
    </row>
    <row r="24" spans="1:10" x14ac:dyDescent="0.25">
      <c r="A24">
        <v>23</v>
      </c>
      <c r="B24" t="s">
        <v>168</v>
      </c>
      <c r="D24" t="s">
        <v>290</v>
      </c>
      <c r="E24" s="6"/>
      <c r="F24" s="6"/>
      <c r="H24">
        <v>7</v>
      </c>
      <c r="I24">
        <f>COUNTIF(Kursantki!F:F,B24)</f>
        <v>2</v>
      </c>
      <c r="J24">
        <f t="shared" si="0"/>
        <v>5</v>
      </c>
    </row>
    <row r="25" spans="1:10" x14ac:dyDescent="0.25">
      <c r="A25">
        <v>24</v>
      </c>
      <c r="B25" t="s">
        <v>114</v>
      </c>
      <c r="C25" t="s">
        <v>295</v>
      </c>
      <c r="D25" t="s">
        <v>290</v>
      </c>
      <c r="E25" s="6">
        <v>0.89583333333333337</v>
      </c>
      <c r="F25" s="6">
        <v>0.93055555555555547</v>
      </c>
      <c r="G25" t="s">
        <v>296</v>
      </c>
      <c r="H25">
        <v>7</v>
      </c>
      <c r="I25">
        <f>COUNTIF(Kursantki!F:F,B25)</f>
        <v>5</v>
      </c>
      <c r="J25">
        <f t="shared" si="0"/>
        <v>2</v>
      </c>
    </row>
    <row r="26" spans="1:10" x14ac:dyDescent="0.25">
      <c r="A26">
        <v>25</v>
      </c>
      <c r="B26" t="s">
        <v>297</v>
      </c>
      <c r="D26" t="s">
        <v>298</v>
      </c>
      <c r="E26" s="6"/>
      <c r="F26" s="6"/>
      <c r="H26">
        <v>7</v>
      </c>
      <c r="I26">
        <f>COUNTIF(Kursantki!F:F,B26)</f>
        <v>0</v>
      </c>
      <c r="J26">
        <f t="shared" si="0"/>
        <v>7</v>
      </c>
    </row>
    <row r="27" spans="1:10" x14ac:dyDescent="0.25">
      <c r="A27">
        <v>26</v>
      </c>
      <c r="B27" t="s">
        <v>299</v>
      </c>
      <c r="D27" t="s">
        <v>298</v>
      </c>
      <c r="E27" s="6"/>
      <c r="F27" s="6"/>
      <c r="H27">
        <v>7</v>
      </c>
      <c r="I27">
        <f>COUNTIF(Kursantki!F:F,B27)</f>
        <v>0</v>
      </c>
      <c r="J27">
        <f t="shared" si="0"/>
        <v>7</v>
      </c>
    </row>
    <row r="28" spans="1:10" x14ac:dyDescent="0.25">
      <c r="A28">
        <v>27</v>
      </c>
      <c r="B28" t="s">
        <v>115</v>
      </c>
      <c r="C28" t="s">
        <v>287</v>
      </c>
      <c r="D28" t="s">
        <v>298</v>
      </c>
      <c r="E28" s="6">
        <v>0.72222222222222221</v>
      </c>
      <c r="F28" s="6">
        <v>0.76388888888888884</v>
      </c>
      <c r="G28" t="s">
        <v>269</v>
      </c>
      <c r="H28">
        <v>7</v>
      </c>
      <c r="I28">
        <f>COUNTIF(Kursantki!F:F,B28)</f>
        <v>6</v>
      </c>
      <c r="J28">
        <f t="shared" si="0"/>
        <v>1</v>
      </c>
    </row>
    <row r="29" spans="1:10" x14ac:dyDescent="0.25">
      <c r="A29">
        <v>28</v>
      </c>
      <c r="B29" t="s">
        <v>125</v>
      </c>
      <c r="C29" t="s">
        <v>300</v>
      </c>
      <c r="D29" t="s">
        <v>298</v>
      </c>
      <c r="E29" s="6">
        <v>0.77083333333333337</v>
      </c>
      <c r="F29" s="6">
        <v>0.8125</v>
      </c>
      <c r="G29" t="s">
        <v>301</v>
      </c>
      <c r="H29">
        <v>7</v>
      </c>
      <c r="I29">
        <f>COUNTIF(Kursantki!F:F,B29)</f>
        <v>3</v>
      </c>
      <c r="J29">
        <f t="shared" si="0"/>
        <v>4</v>
      </c>
    </row>
    <row r="30" spans="1:10" x14ac:dyDescent="0.25">
      <c r="A30">
        <v>29</v>
      </c>
      <c r="B30" t="s">
        <v>130</v>
      </c>
      <c r="C30" t="s">
        <v>300</v>
      </c>
      <c r="D30" t="s">
        <v>298</v>
      </c>
      <c r="E30" s="6">
        <v>0.81944444444444453</v>
      </c>
      <c r="F30" s="6">
        <v>0.86111111111111116</v>
      </c>
      <c r="G30" t="s">
        <v>301</v>
      </c>
      <c r="H30">
        <v>7</v>
      </c>
      <c r="I30">
        <f>COUNTIF(Kursantki!F:F,B30)</f>
        <v>5</v>
      </c>
      <c r="J30">
        <f t="shared" si="0"/>
        <v>2</v>
      </c>
    </row>
    <row r="31" spans="1:10" x14ac:dyDescent="0.25">
      <c r="A31">
        <v>30</v>
      </c>
      <c r="B31" t="s">
        <v>302</v>
      </c>
      <c r="D31" t="s">
        <v>298</v>
      </c>
      <c r="H31">
        <v>7</v>
      </c>
      <c r="I31">
        <f>COUNTIF(Kursantki!F:F,B31)</f>
        <v>0</v>
      </c>
      <c r="J31">
        <f t="shared" si="0"/>
        <v>7</v>
      </c>
    </row>
    <row r="32" spans="1:10" x14ac:dyDescent="0.25">
      <c r="A32">
        <v>31</v>
      </c>
      <c r="B32" t="s">
        <v>303</v>
      </c>
      <c r="D32" t="s">
        <v>304</v>
      </c>
      <c r="H32">
        <v>7</v>
      </c>
      <c r="I32">
        <f>COUNTIF(Kursantki!F:F,B32)</f>
        <v>0</v>
      </c>
      <c r="J32">
        <f t="shared" si="0"/>
        <v>7</v>
      </c>
    </row>
    <row r="33" spans="1:10" x14ac:dyDescent="0.25">
      <c r="A33">
        <v>32</v>
      </c>
      <c r="B33" t="s">
        <v>305</v>
      </c>
      <c r="D33" t="s">
        <v>304</v>
      </c>
      <c r="H33">
        <v>7</v>
      </c>
      <c r="I33">
        <f>COUNTIF(Kursantki!F:F,B33)</f>
        <v>0</v>
      </c>
      <c r="J33">
        <f t="shared" si="0"/>
        <v>7</v>
      </c>
    </row>
    <row r="34" spans="1:10" x14ac:dyDescent="0.25">
      <c r="A34">
        <v>33</v>
      </c>
      <c r="B34" t="s">
        <v>306</v>
      </c>
      <c r="D34" t="s">
        <v>304</v>
      </c>
      <c r="E34" s="6"/>
      <c r="F34" s="6"/>
      <c r="H34">
        <v>7</v>
      </c>
      <c r="I34">
        <f>COUNTIF(Kursantki!F:F,B34)</f>
        <v>0</v>
      </c>
      <c r="J34">
        <f t="shared" si="0"/>
        <v>7</v>
      </c>
    </row>
    <row r="35" spans="1:10" x14ac:dyDescent="0.25">
      <c r="A35">
        <v>34</v>
      </c>
      <c r="B35" t="s">
        <v>307</v>
      </c>
      <c r="D35" t="s">
        <v>304</v>
      </c>
      <c r="E35" s="6"/>
      <c r="F35" s="6"/>
      <c r="H35">
        <v>7</v>
      </c>
      <c r="I35">
        <f>COUNTIF(Kursantki!F:F,B35)</f>
        <v>0</v>
      </c>
      <c r="J35">
        <f t="shared" si="0"/>
        <v>7</v>
      </c>
    </row>
    <row r="36" spans="1:10" x14ac:dyDescent="0.25">
      <c r="A36">
        <v>35</v>
      </c>
      <c r="B36" t="s">
        <v>308</v>
      </c>
      <c r="D36" t="s">
        <v>304</v>
      </c>
      <c r="E36" s="6"/>
      <c r="F36" s="6"/>
      <c r="H36">
        <v>7</v>
      </c>
      <c r="I36">
        <f>COUNTIF(Kursantki!F:F,B36)</f>
        <v>0</v>
      </c>
      <c r="J36">
        <f t="shared" si="0"/>
        <v>7</v>
      </c>
    </row>
    <row r="37" spans="1:10" x14ac:dyDescent="0.25">
      <c r="A37">
        <v>36</v>
      </c>
      <c r="B37" t="s">
        <v>309</v>
      </c>
      <c r="D37" t="s">
        <v>304</v>
      </c>
      <c r="H37">
        <v>7</v>
      </c>
      <c r="I37">
        <f>COUNTIF(Kursantki!F:F,B37)</f>
        <v>0</v>
      </c>
      <c r="J37">
        <f t="shared" si="0"/>
        <v>7</v>
      </c>
    </row>
  </sheetData>
  <phoneticPr fontId="1" type="noConversion"/>
  <conditionalFormatting sqref="C1:C37">
    <cfRule type="containsText" dxfId="9" priority="1" operator="containsText" text="&quot; &quot;">
      <formula>NOT(ISERROR(SEARCH(""" """,C1)))</formula>
    </cfRule>
  </conditionalFormatting>
  <conditionalFormatting sqref="J2:J3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UpdateGroupName">
                <anchor moveWithCells="1" sizeWithCells="1">
                  <from>
                    <xdr:col>10</xdr:col>
                    <xdr:colOff>561975</xdr:colOff>
                    <xdr:row>0</xdr:row>
                    <xdr:rowOff>180975</xdr:rowOff>
                  </from>
                  <to>
                    <xdr:col>13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ClearGroupNames">
                <anchor moveWithCells="1" sizeWithCells="1">
                  <from>
                    <xdr:col>10</xdr:col>
                    <xdr:colOff>561975</xdr:colOff>
                    <xdr:row>3</xdr:row>
                    <xdr:rowOff>38100</xdr:rowOff>
                  </from>
                  <to>
                    <xdr:col>13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-0.499984740745262"/>
  </sheetPr>
  <dimension ref="A1:J152"/>
  <sheetViews>
    <sheetView topLeftCell="A37" zoomScale="98" workbookViewId="0">
      <selection activeCell="D160" sqref="D160"/>
    </sheetView>
  </sheetViews>
  <sheetFormatPr defaultColWidth="8.85546875" defaultRowHeight="15" x14ac:dyDescent="0.25"/>
  <cols>
    <col min="1" max="1" width="5.140625" bestFit="1" customWidth="1"/>
    <col min="2" max="2" width="27.28515625" bestFit="1" customWidth="1"/>
    <col min="3" max="3" width="10.7109375" style="8" bestFit="1" customWidth="1"/>
    <col min="4" max="4" width="18.7109375" bestFit="1" customWidth="1"/>
    <col min="5" max="5" width="19.85546875" bestFit="1" customWidth="1"/>
    <col min="6" max="6" width="17.28515625" bestFit="1" customWidth="1"/>
    <col min="7" max="7" width="10.140625" customWidth="1"/>
    <col min="8" max="8" width="21" customWidth="1"/>
    <col min="9" max="9" width="12.42578125" customWidth="1"/>
    <col min="10" max="10" width="9.85546875" bestFit="1" customWidth="1"/>
  </cols>
  <sheetData>
    <row r="1" spans="1:9" x14ac:dyDescent="0.25">
      <c r="A1" s="4" t="s">
        <v>137</v>
      </c>
      <c r="B1" s="2" t="s">
        <v>49</v>
      </c>
      <c r="C1" s="9" t="s">
        <v>310</v>
      </c>
      <c r="D1" s="3" t="s">
        <v>311</v>
      </c>
      <c r="E1" s="3" t="s">
        <v>5</v>
      </c>
      <c r="F1" s="4" t="s">
        <v>312</v>
      </c>
      <c r="G1" s="4" t="s">
        <v>313</v>
      </c>
      <c r="H1" s="2" t="s">
        <v>140</v>
      </c>
      <c r="I1" s="11">
        <f ca="1">TODAY()</f>
        <v>45183</v>
      </c>
    </row>
    <row r="2" spans="1:9" x14ac:dyDescent="0.25">
      <c r="A2">
        <v>1</v>
      </c>
      <c r="B2" t="str">
        <f>VLOOKUP(A2,Kursantki!A:B,2,0)</f>
        <v>GABRYSIA KONIECZNA</v>
      </c>
      <c r="C2" s="10"/>
      <c r="D2" s="37"/>
      <c r="E2" s="38">
        <v>45166</v>
      </c>
      <c r="F2" t="str">
        <f t="shared" ref="F2:F40" ca="1" si="0">IF($E2&gt;$I$1,"Opłacony","Brak płatności")</f>
        <v>Brak płatności</v>
      </c>
      <c r="H2" s="12" t="s">
        <v>57</v>
      </c>
    </row>
    <row r="3" spans="1:9" x14ac:dyDescent="0.25">
      <c r="A3">
        <v>2</v>
      </c>
      <c r="B3" t="e">
        <f>VLOOKUP(A3,Kursantki!A:B,2,0)</f>
        <v>#N/A</v>
      </c>
      <c r="C3" s="10"/>
      <c r="D3" s="38"/>
      <c r="E3" s="38" t="e">
        <f>VLOOKUP(B3,Kursantki!B:H,7,0)</f>
        <v>#N/A</v>
      </c>
      <c r="F3" t="e">
        <f ca="1">IF($E3&gt;$I$1,"Opłacony","Brak płatności")</f>
        <v>#N/A</v>
      </c>
      <c r="H3" s="12"/>
    </row>
    <row r="4" spans="1:9" x14ac:dyDescent="0.25">
      <c r="A4">
        <v>3</v>
      </c>
      <c r="B4" t="str">
        <f>VLOOKUP(A4,Kursantki!A:B,2,0)</f>
        <v>KAMILA SKRZYPCZAK</v>
      </c>
      <c r="C4" s="10"/>
      <c r="D4" s="38">
        <v>45000</v>
      </c>
      <c r="E4" s="38">
        <v>45196</v>
      </c>
      <c r="F4" t="str">
        <f t="shared" ca="1" si="0"/>
        <v>Opłacony</v>
      </c>
      <c r="G4">
        <v>260</v>
      </c>
      <c r="H4" s="34"/>
    </row>
    <row r="5" spans="1:9" x14ac:dyDescent="0.25">
      <c r="A5">
        <v>4</v>
      </c>
      <c r="B5" t="str">
        <f>VLOOKUP(A5,Kursantki!A:B,2,0)</f>
        <v>LENA KOWALSKA</v>
      </c>
      <c r="C5" s="10"/>
      <c r="D5" s="38">
        <v>45000</v>
      </c>
      <c r="E5" s="38">
        <v>45093</v>
      </c>
      <c r="F5" t="str">
        <f t="shared" ca="1" si="0"/>
        <v>Brak płatności</v>
      </c>
      <c r="G5">
        <v>150</v>
      </c>
      <c r="H5" s="12" t="s">
        <v>314</v>
      </c>
    </row>
    <row r="6" spans="1:9" x14ac:dyDescent="0.25">
      <c r="A6">
        <v>5</v>
      </c>
      <c r="B6" t="str">
        <f>VLOOKUP(A6,Kursantki!A:B,2,0)</f>
        <v>WERONIKA TWARDOWSKA</v>
      </c>
      <c r="C6" s="10"/>
      <c r="D6" s="37"/>
      <c r="E6" s="38">
        <v>45166</v>
      </c>
      <c r="F6" t="str">
        <f t="shared" ca="1" si="0"/>
        <v>Brak płatności</v>
      </c>
      <c r="H6" s="33"/>
    </row>
    <row r="7" spans="1:9" x14ac:dyDescent="0.25">
      <c r="A7">
        <v>6</v>
      </c>
      <c r="B7" t="str">
        <f>VLOOKUP(A7,Kursantki!A:B,2,0)</f>
        <v>MILENA TALAGA</v>
      </c>
      <c r="C7" s="10"/>
      <c r="D7" s="38">
        <v>45000</v>
      </c>
      <c r="E7" s="38">
        <v>45196</v>
      </c>
      <c r="F7" t="str">
        <f t="shared" ca="1" si="0"/>
        <v>Opłacony</v>
      </c>
      <c r="G7">
        <v>150</v>
      </c>
      <c r="H7" s="12" t="s">
        <v>315</v>
      </c>
    </row>
    <row r="8" spans="1:9" x14ac:dyDescent="0.25">
      <c r="A8">
        <v>7</v>
      </c>
      <c r="B8" t="str">
        <f>VLOOKUP(A8,Kursantki!A:B,2,0)</f>
        <v>MONIKA RATAJCZAK</v>
      </c>
      <c r="C8" s="10"/>
      <c r="D8" s="37"/>
      <c r="E8" s="38">
        <v>45194</v>
      </c>
      <c r="F8" t="str">
        <f t="shared" ca="1" si="0"/>
        <v>Opłacony</v>
      </c>
      <c r="H8" s="12" t="s">
        <v>316</v>
      </c>
    </row>
    <row r="9" spans="1:9" x14ac:dyDescent="0.25">
      <c r="A9">
        <v>8</v>
      </c>
      <c r="B9" t="e">
        <f>VLOOKUP(A9,Kursantki!A:B,2,0)</f>
        <v>#N/A</v>
      </c>
      <c r="C9" s="10"/>
      <c r="D9" s="38"/>
      <c r="E9" s="38" t="e">
        <f>VLOOKUP(B9,Kursantki!B:H,7,0)</f>
        <v>#N/A</v>
      </c>
      <c r="F9" t="e">
        <f ca="1">IF($E9&gt;$I$1,"Opłacony","Brak płatności")</f>
        <v>#N/A</v>
      </c>
      <c r="H9" s="12"/>
    </row>
    <row r="10" spans="1:9" x14ac:dyDescent="0.25">
      <c r="A10">
        <v>9</v>
      </c>
      <c r="B10" t="str">
        <f>VLOOKUP(A10,Kursantki!A:B,2,0)</f>
        <v>DOMINIKA MARCINKRAWIEC</v>
      </c>
      <c r="C10" s="10"/>
      <c r="D10" s="37"/>
      <c r="E10" s="39">
        <v>45173</v>
      </c>
      <c r="F10" t="str">
        <f t="shared" ca="1" si="0"/>
        <v>Brak płatności</v>
      </c>
      <c r="H10" s="12" t="s">
        <v>106</v>
      </c>
    </row>
    <row r="11" spans="1:9" x14ac:dyDescent="0.25">
      <c r="A11">
        <v>10</v>
      </c>
      <c r="B11" t="str">
        <f>VLOOKUP(A11,Kursantki!A:B,2,0)</f>
        <v>AGA MAJCHRZAK</v>
      </c>
      <c r="C11" s="10"/>
      <c r="D11" s="37"/>
      <c r="E11" s="38">
        <v>45089</v>
      </c>
      <c r="F11" t="str">
        <f t="shared" ca="1" si="0"/>
        <v>Brak płatności</v>
      </c>
      <c r="H11" s="12" t="s">
        <v>106</v>
      </c>
    </row>
    <row r="12" spans="1:9" x14ac:dyDescent="0.25">
      <c r="A12">
        <v>11</v>
      </c>
      <c r="B12" t="str">
        <f>VLOOKUP(A12,Kursantki!A:B,2,0)</f>
        <v>EWA ROSZAK</v>
      </c>
      <c r="C12" s="10"/>
      <c r="D12" s="37"/>
      <c r="E12" s="38">
        <v>45194</v>
      </c>
      <c r="F12" t="str">
        <f t="shared" ca="1" si="0"/>
        <v>Opłacony</v>
      </c>
      <c r="G12">
        <v>150</v>
      </c>
      <c r="H12" s="12"/>
    </row>
    <row r="13" spans="1:9" x14ac:dyDescent="0.25">
      <c r="A13">
        <v>12</v>
      </c>
      <c r="B13" t="str">
        <f>VLOOKUP(A13,Kursantki!A:B,2,0)</f>
        <v>IRENA HRYP</v>
      </c>
      <c r="C13" s="10"/>
      <c r="D13" s="38">
        <v>45013</v>
      </c>
      <c r="E13" s="38">
        <v>45189</v>
      </c>
      <c r="F13" t="str">
        <f t="shared" ca="1" si="0"/>
        <v>Opłacony</v>
      </c>
      <c r="G13">
        <v>300</v>
      </c>
      <c r="H13" s="12"/>
    </row>
    <row r="14" spans="1:9" x14ac:dyDescent="0.25">
      <c r="A14">
        <v>13</v>
      </c>
      <c r="B14" t="str">
        <f>VLOOKUP(A14,Kursantki!A:B,2,0)</f>
        <v>MARIKA IDKOWIAK</v>
      </c>
      <c r="C14" s="10"/>
      <c r="D14" s="38">
        <v>45020</v>
      </c>
      <c r="E14" s="38">
        <v>45117</v>
      </c>
      <c r="F14" t="str">
        <f t="shared" ca="1" si="0"/>
        <v>Brak płatności</v>
      </c>
      <c r="G14">
        <v>150</v>
      </c>
      <c r="H14" s="34" t="s">
        <v>57</v>
      </c>
    </row>
    <row r="15" spans="1:9" x14ac:dyDescent="0.25">
      <c r="A15">
        <v>14</v>
      </c>
      <c r="B15" t="str">
        <f>VLOOKUP(A15,Kursantki!A:B,2,0)</f>
        <v>SAMANTA LEŚNIAREK</v>
      </c>
      <c r="C15" s="10"/>
      <c r="D15" s="38">
        <v>45013</v>
      </c>
      <c r="E15" s="38">
        <v>45195</v>
      </c>
      <c r="F15" t="str">
        <f t="shared" ca="1" si="0"/>
        <v>Opłacony</v>
      </c>
      <c r="H15" s="12"/>
    </row>
    <row r="16" spans="1:9" x14ac:dyDescent="0.25">
      <c r="A16">
        <v>15</v>
      </c>
      <c r="B16" t="str">
        <f>VLOOKUP(A16,Kursantki!A:B,2,0)</f>
        <v>ANNA OLEJNICZAK</v>
      </c>
      <c r="C16" s="10"/>
      <c r="D16" s="37"/>
      <c r="E16" s="38">
        <v>45166</v>
      </c>
      <c r="F16" t="str">
        <f t="shared" ca="1" si="0"/>
        <v>Brak płatności</v>
      </c>
      <c r="G16">
        <v>160</v>
      </c>
      <c r="H16" s="34"/>
    </row>
    <row r="17" spans="1:8" x14ac:dyDescent="0.25">
      <c r="A17">
        <v>16</v>
      </c>
      <c r="B17" t="str">
        <f>VLOOKUP(A17,Kursantki!A:B,2,0)</f>
        <v>MAJA ROSZAK</v>
      </c>
      <c r="C17" s="10"/>
      <c r="D17" s="38">
        <v>45013</v>
      </c>
      <c r="E17" s="38">
        <v>45166</v>
      </c>
      <c r="F17" t="str">
        <f t="shared" ca="1" si="0"/>
        <v>Brak płatności</v>
      </c>
      <c r="G17">
        <v>160</v>
      </c>
      <c r="H17" s="12"/>
    </row>
    <row r="18" spans="1:8" x14ac:dyDescent="0.25">
      <c r="A18">
        <v>17</v>
      </c>
      <c r="B18" t="str">
        <f>VLOOKUP(A18,Kursantki!A:B,2,0)</f>
        <v>ANNA ADAMIAK</v>
      </c>
      <c r="C18" s="10"/>
      <c r="D18" s="38">
        <v>45013</v>
      </c>
      <c r="E18" s="38">
        <v>45173</v>
      </c>
      <c r="F18" t="str">
        <f t="shared" ca="1" si="0"/>
        <v>Brak płatności</v>
      </c>
      <c r="G18">
        <v>160</v>
      </c>
      <c r="H18" s="12" t="s">
        <v>317</v>
      </c>
    </row>
    <row r="19" spans="1:8" x14ac:dyDescent="0.25">
      <c r="A19">
        <v>18</v>
      </c>
      <c r="B19" t="e">
        <f>VLOOKUP(A19,Kursantki!A:B,2,0)</f>
        <v>#N/A</v>
      </c>
      <c r="C19" s="10"/>
      <c r="D19" s="38"/>
      <c r="E19" s="38" t="e">
        <f>VLOOKUP(B19,Kursantki!B:H,7,0)</f>
        <v>#N/A</v>
      </c>
      <c r="F19" t="e">
        <f ca="1">IF($E19&gt;$I$1,"Opłacony","Brak płatności")</f>
        <v>#N/A</v>
      </c>
      <c r="H19" s="12"/>
    </row>
    <row r="20" spans="1:8" x14ac:dyDescent="0.25">
      <c r="A20">
        <v>19</v>
      </c>
      <c r="B20" t="str">
        <f>VLOOKUP(A20,Kursantki!A:B,2,0)</f>
        <v>IZABELA DŁUŻAŁKA</v>
      </c>
      <c r="C20" s="10"/>
      <c r="D20" s="38">
        <v>45013</v>
      </c>
      <c r="E20" s="38">
        <v>45180</v>
      </c>
      <c r="F20" t="str">
        <f t="shared" ca="1" si="0"/>
        <v>Brak płatności</v>
      </c>
      <c r="H20" s="44"/>
    </row>
    <row r="21" spans="1:8" x14ac:dyDescent="0.25">
      <c r="A21">
        <v>20</v>
      </c>
      <c r="B21" t="str">
        <f>VLOOKUP(A21,Kursantki!A:B,2,0)</f>
        <v>MARYSIA STRÓŻYŃSKA</v>
      </c>
      <c r="C21" s="10"/>
      <c r="D21" s="37"/>
      <c r="E21" s="39">
        <v>45182</v>
      </c>
      <c r="F21" t="str">
        <f t="shared" ca="1" si="0"/>
        <v>Brak płatności</v>
      </c>
      <c r="H21" s="12"/>
    </row>
    <row r="22" spans="1:8" x14ac:dyDescent="0.25">
      <c r="A22">
        <v>21</v>
      </c>
      <c r="B22" t="str">
        <f>VLOOKUP(A22,Kursantki!A:B,2,0)</f>
        <v>ANIA KLONOWSKA</v>
      </c>
      <c r="C22" s="10"/>
      <c r="D22" s="37"/>
      <c r="E22" s="38">
        <v>45190</v>
      </c>
      <c r="F22" t="str">
        <f t="shared" ca="1" si="0"/>
        <v>Opłacony</v>
      </c>
      <c r="H22" s="12"/>
    </row>
    <row r="23" spans="1:8" x14ac:dyDescent="0.25">
      <c r="A23">
        <v>22</v>
      </c>
      <c r="B23" t="str">
        <f>VLOOKUP(A23,Kursantki!A:B,2,0)</f>
        <v>MONIKA PIASERSKA</v>
      </c>
      <c r="C23" s="10" t="s">
        <v>318</v>
      </c>
      <c r="D23" s="38">
        <v>45013</v>
      </c>
      <c r="E23" s="38">
        <v>45131</v>
      </c>
      <c r="F23" t="str">
        <f t="shared" ca="1" si="0"/>
        <v>Brak płatności</v>
      </c>
      <c r="H23" s="12" t="s">
        <v>106</v>
      </c>
    </row>
    <row r="24" spans="1:8" x14ac:dyDescent="0.25">
      <c r="A24">
        <v>23</v>
      </c>
      <c r="B24" t="e">
        <f>VLOOKUP(A24,Kursantki!A:B,2,0)</f>
        <v>#N/A</v>
      </c>
      <c r="C24" s="10"/>
      <c r="D24" s="38"/>
      <c r="E24" s="38" t="e">
        <f>VLOOKUP(B24,Kursantki!B:H,7,0)</f>
        <v>#N/A</v>
      </c>
      <c r="F24" t="e">
        <f ca="1">IF($E24&gt;$I$1,"Opłacony","Brak płatności")</f>
        <v>#N/A</v>
      </c>
      <c r="H24" s="12"/>
    </row>
    <row r="25" spans="1:8" x14ac:dyDescent="0.25">
      <c r="A25">
        <v>24</v>
      </c>
      <c r="B25" t="str">
        <f>VLOOKUP(A25,Kursantki!A:B,2,0)</f>
        <v>EMILIA STRÓŻYŃSKA</v>
      </c>
      <c r="C25" s="10"/>
      <c r="D25" s="37"/>
      <c r="E25" s="38">
        <v>45175</v>
      </c>
      <c r="F25" t="str">
        <f t="shared" ca="1" si="0"/>
        <v>Brak płatności</v>
      </c>
      <c r="G25">
        <v>160</v>
      </c>
      <c r="H25" s="34"/>
    </row>
    <row r="26" spans="1:8" x14ac:dyDescent="0.25">
      <c r="A26">
        <v>25</v>
      </c>
      <c r="B26" t="str">
        <f>VLOOKUP(A26,Kursantki!A:B,2,0)</f>
        <v>ASIA MICHALSKA</v>
      </c>
      <c r="C26" s="10"/>
      <c r="D26" s="37"/>
      <c r="E26" s="38">
        <v>45187</v>
      </c>
      <c r="F26" t="str">
        <f t="shared" ca="1" si="0"/>
        <v>Opłacony</v>
      </c>
      <c r="H26" s="34"/>
    </row>
    <row r="27" spans="1:8" x14ac:dyDescent="0.25">
      <c r="A27">
        <v>26</v>
      </c>
      <c r="B27" t="str">
        <f>VLOOKUP(A27,Kursantki!A:B,2,0)</f>
        <v>ZUZANNA KRYŚ</v>
      </c>
      <c r="C27" s="10"/>
      <c r="D27" s="37"/>
      <c r="E27" s="38">
        <v>45089</v>
      </c>
      <c r="F27" t="str">
        <f t="shared" ca="1" si="0"/>
        <v>Brak płatności</v>
      </c>
      <c r="H27" s="34" t="s">
        <v>106</v>
      </c>
    </row>
    <row r="28" spans="1:8" x14ac:dyDescent="0.25">
      <c r="A28">
        <v>27</v>
      </c>
      <c r="B28" t="e">
        <f>VLOOKUP(A28,Kursantki!A:B,2,0)</f>
        <v>#N/A</v>
      </c>
      <c r="C28" s="10"/>
      <c r="D28" s="38"/>
      <c r="E28" s="38" t="e">
        <f>VLOOKUP(B28,Kursantki!B:H,7,0)</f>
        <v>#N/A</v>
      </c>
      <c r="F28" t="e">
        <f ca="1">IF($E28&gt;$I$1,"Opłacony","Brak płatności")</f>
        <v>#N/A</v>
      </c>
      <c r="H28" s="34"/>
    </row>
    <row r="29" spans="1:8" x14ac:dyDescent="0.25">
      <c r="A29">
        <v>28</v>
      </c>
      <c r="B29" t="e">
        <f>VLOOKUP(A29,Kursantki!A:B,2,0)</f>
        <v>#N/A</v>
      </c>
      <c r="C29" s="10"/>
      <c r="D29" s="38"/>
      <c r="E29" s="38" t="e">
        <f>VLOOKUP(B29,Kursantki!B:H,7,0)</f>
        <v>#N/A</v>
      </c>
      <c r="F29" t="e">
        <f ca="1">IF($E29&gt;$I$1,"Opłacony","Brak płatności")</f>
        <v>#N/A</v>
      </c>
      <c r="H29" s="34"/>
    </row>
    <row r="30" spans="1:8" x14ac:dyDescent="0.25">
      <c r="A30">
        <v>29</v>
      </c>
      <c r="B30" t="e">
        <f>VLOOKUP(A30,Kursantki!A:B,2,0)</f>
        <v>#N/A</v>
      </c>
      <c r="C30" s="10"/>
      <c r="D30" s="38"/>
      <c r="E30" s="38" t="e">
        <f>VLOOKUP(B30,Kursantki!B:H,7,0)</f>
        <v>#N/A</v>
      </c>
      <c r="F30" t="e">
        <f ca="1">IF($E30&gt;$I$1,"Opłacony","Brak płatności")</f>
        <v>#N/A</v>
      </c>
      <c r="H30" s="34"/>
    </row>
    <row r="31" spans="1:8" x14ac:dyDescent="0.25">
      <c r="A31">
        <v>30</v>
      </c>
      <c r="B31" t="str">
        <f>VLOOKUP(A31,Kursantki!A:B,2,0)</f>
        <v>ZOSIA SZYMCZAK</v>
      </c>
      <c r="C31" s="10"/>
      <c r="D31" s="38">
        <v>45019</v>
      </c>
      <c r="E31" s="38">
        <v>45082</v>
      </c>
      <c r="F31" t="str">
        <f t="shared" ca="1" si="0"/>
        <v>Brak płatności</v>
      </c>
      <c r="H31" s="34" t="s">
        <v>106</v>
      </c>
    </row>
    <row r="32" spans="1:8" x14ac:dyDescent="0.25">
      <c r="A32">
        <v>31</v>
      </c>
      <c r="B32" t="str">
        <f>VLOOKUP(A32,Kursantki!A:B,2,0)</f>
        <v xml:space="preserve">DOROTA POLNA </v>
      </c>
      <c r="C32" s="10"/>
      <c r="D32" s="37"/>
      <c r="E32" s="38">
        <v>45072</v>
      </c>
      <c r="F32" t="str">
        <f t="shared" ca="1" si="0"/>
        <v>Brak płatności</v>
      </c>
      <c r="G32">
        <v>140</v>
      </c>
      <c r="H32" s="12" t="s">
        <v>106</v>
      </c>
    </row>
    <row r="33" spans="1:8" x14ac:dyDescent="0.25">
      <c r="A33">
        <v>32</v>
      </c>
      <c r="B33" t="str">
        <f>VLOOKUP(A33,Kursantki!A:B,2,0)</f>
        <v>JULIA GRUCHOCIAK</v>
      </c>
      <c r="C33" s="10"/>
      <c r="D33" s="37"/>
      <c r="E33" s="38">
        <v>45075</v>
      </c>
      <c r="F33" t="str">
        <f t="shared" ca="1" si="0"/>
        <v>Brak płatności</v>
      </c>
      <c r="H33" s="34" t="s">
        <v>319</v>
      </c>
    </row>
    <row r="34" spans="1:8" x14ac:dyDescent="0.25">
      <c r="A34">
        <v>33</v>
      </c>
      <c r="B34" t="str">
        <f>VLOOKUP(A34,Kursantki!A:B,2,0)</f>
        <v>IDA SZCZEPANIAK</v>
      </c>
      <c r="C34" s="10"/>
      <c r="D34" s="37"/>
      <c r="E34" s="39">
        <v>45146</v>
      </c>
      <c r="F34" t="str">
        <f t="shared" ca="1" si="0"/>
        <v>Brak płatności</v>
      </c>
      <c r="G34">
        <v>150</v>
      </c>
      <c r="H34" s="33" t="s">
        <v>320</v>
      </c>
    </row>
    <row r="35" spans="1:8" x14ac:dyDescent="0.25">
      <c r="A35">
        <v>34</v>
      </c>
      <c r="B35" t="str">
        <f>VLOOKUP(A35,Kursantki!A:B,2,0)</f>
        <v>BLANKA WOSIŃSKA</v>
      </c>
      <c r="C35" s="32"/>
      <c r="D35" s="37"/>
      <c r="E35" s="39">
        <v>45196</v>
      </c>
      <c r="F35" t="str">
        <f t="shared" ca="1" si="0"/>
        <v>Opłacony</v>
      </c>
      <c r="G35">
        <v>300</v>
      </c>
      <c r="H35" s="33"/>
    </row>
    <row r="36" spans="1:8" x14ac:dyDescent="0.25">
      <c r="A36">
        <v>35</v>
      </c>
      <c r="B36" t="e">
        <f>VLOOKUP(A36,Kursantki!A:B,2,0)</f>
        <v>#N/A</v>
      </c>
      <c r="C36" s="10"/>
      <c r="D36" s="37"/>
      <c r="E36" s="37"/>
      <c r="F36" t="str">
        <f t="shared" ca="1" si="0"/>
        <v>Brak płatności</v>
      </c>
      <c r="H36" s="12"/>
    </row>
    <row r="37" spans="1:8" x14ac:dyDescent="0.25">
      <c r="A37">
        <v>36</v>
      </c>
      <c r="B37" t="str">
        <f>VLOOKUP(A37,Kursantki!A:B,2,0)</f>
        <v>WERONIKA CISIELSKA</v>
      </c>
      <c r="C37" s="10"/>
      <c r="D37" s="37"/>
      <c r="E37" s="39">
        <v>45146</v>
      </c>
      <c r="F37" t="str">
        <f t="shared" ca="1" si="0"/>
        <v>Brak płatności</v>
      </c>
      <c r="H37" s="12" t="s">
        <v>321</v>
      </c>
    </row>
    <row r="38" spans="1:8" x14ac:dyDescent="0.25">
      <c r="A38">
        <v>37</v>
      </c>
      <c r="B38" t="str">
        <f>VLOOKUP(A38,Kursantki!A:B,2,0)</f>
        <v>ZOFIA JUSKA</v>
      </c>
      <c r="C38" s="10"/>
      <c r="D38" s="37"/>
      <c r="E38" s="38">
        <v>45196</v>
      </c>
      <c r="F38" t="str">
        <f t="shared" ca="1" si="0"/>
        <v>Opłacony</v>
      </c>
      <c r="H38" s="12"/>
    </row>
    <row r="39" spans="1:8" x14ac:dyDescent="0.25">
      <c r="A39">
        <v>38</v>
      </c>
      <c r="B39" t="str">
        <f>VLOOKUP(A39,Kursantki!A:B,2,0)</f>
        <v>IGA WŁODARCZYK</v>
      </c>
      <c r="C39" s="10"/>
      <c r="D39" s="38">
        <v>45029</v>
      </c>
      <c r="E39" s="38">
        <v>45104</v>
      </c>
      <c r="F39" t="str">
        <f t="shared" ca="1" si="0"/>
        <v>Brak płatności</v>
      </c>
      <c r="G39">
        <v>150</v>
      </c>
      <c r="H39" s="12" t="s">
        <v>322</v>
      </c>
    </row>
    <row r="40" spans="1:8" x14ac:dyDescent="0.25">
      <c r="A40">
        <v>39</v>
      </c>
      <c r="B40" t="str">
        <f>VLOOKUP(A40,Kursantki!A:B,2,0)</f>
        <v>WIKTORIA RATAJCZAK</v>
      </c>
      <c r="C40" s="10"/>
      <c r="D40" s="37"/>
      <c r="E40" s="38">
        <v>45111</v>
      </c>
      <c r="F40" t="str">
        <f t="shared" ca="1" si="0"/>
        <v>Brak płatności</v>
      </c>
      <c r="H40" s="12" t="s">
        <v>323</v>
      </c>
    </row>
    <row r="41" spans="1:8" x14ac:dyDescent="0.25">
      <c r="A41">
        <v>40</v>
      </c>
      <c r="B41" t="e">
        <f>VLOOKUP(A41,Kursantki!A:B,2,0)</f>
        <v>#N/A</v>
      </c>
      <c r="C41" s="10"/>
      <c r="D41" s="37"/>
      <c r="E41" s="37"/>
      <c r="F41" t="str">
        <f t="shared" ref="F41:F80" ca="1" si="1">IF($E41&gt;$I$1,"Opłacony","Brak płatności")</f>
        <v>Brak płatności</v>
      </c>
      <c r="H41" s="12"/>
    </row>
    <row r="42" spans="1:8" x14ac:dyDescent="0.25">
      <c r="A42">
        <v>41</v>
      </c>
      <c r="B42" t="e">
        <f>VLOOKUP(A42,Kursantki!A:B,2,0)</f>
        <v>#N/A</v>
      </c>
      <c r="C42" s="10"/>
      <c r="D42" s="37"/>
      <c r="E42" s="37"/>
      <c r="F42" t="str">
        <f t="shared" ca="1" si="1"/>
        <v>Brak płatności</v>
      </c>
      <c r="H42" s="12"/>
    </row>
    <row r="43" spans="1:8" x14ac:dyDescent="0.25">
      <c r="A43">
        <v>42</v>
      </c>
      <c r="B43" t="str">
        <f>VLOOKUP(A43,Kursantki!A:B,2,0)</f>
        <v>PATRYCJA ŁUSZCZ</v>
      </c>
      <c r="C43" s="10"/>
      <c r="D43" s="38"/>
      <c r="E43" s="38">
        <f>VLOOKUP(B43,Kursantki!B:H,7,0)</f>
        <v>0</v>
      </c>
      <c r="F43" t="str">
        <f ca="1">IF($E43&gt;$I$1,"Opłacony","Brak płatności")</f>
        <v>Brak płatności</v>
      </c>
      <c r="H43" s="12"/>
    </row>
    <row r="44" spans="1:8" x14ac:dyDescent="0.25">
      <c r="A44">
        <v>43</v>
      </c>
      <c r="B44" t="e">
        <f>VLOOKUP(A44,Kursantki!A:B,2,0)</f>
        <v>#N/A</v>
      </c>
      <c r="C44" s="10"/>
      <c r="D44" s="38"/>
      <c r="E44" s="38" t="e">
        <f>VLOOKUP(B44,Kursantki!B:H,7,0)</f>
        <v>#N/A</v>
      </c>
      <c r="F44" t="e">
        <f ca="1">IF($E44&gt;$I$1,"Opłacony","Brak płatności")</f>
        <v>#N/A</v>
      </c>
      <c r="H44" s="12"/>
    </row>
    <row r="45" spans="1:8" x14ac:dyDescent="0.25">
      <c r="A45">
        <v>44</v>
      </c>
      <c r="B45" t="str">
        <f>VLOOKUP(A45,Kursantki!A:B,2,0)</f>
        <v>KASIA CIEŚLAK</v>
      </c>
      <c r="C45" s="10"/>
      <c r="D45" s="38">
        <v>45006</v>
      </c>
      <c r="E45" s="38">
        <v>45141</v>
      </c>
      <c r="F45" t="str">
        <f t="shared" ca="1" si="1"/>
        <v>Brak płatności</v>
      </c>
      <c r="H45" s="12" t="s">
        <v>324</v>
      </c>
    </row>
    <row r="46" spans="1:8" x14ac:dyDescent="0.25">
      <c r="A46">
        <v>45</v>
      </c>
      <c r="B46" t="str">
        <f>VLOOKUP(A46,Kursantki!A:B,2,0)</f>
        <v>JULIA PIKULSKA</v>
      </c>
      <c r="C46" s="10"/>
      <c r="D46" s="37"/>
      <c r="E46" s="39">
        <v>45155</v>
      </c>
      <c r="F46" t="str">
        <f t="shared" ca="1" si="1"/>
        <v>Brak płatności</v>
      </c>
      <c r="G46">
        <v>150</v>
      </c>
      <c r="H46" s="34" t="s">
        <v>324</v>
      </c>
    </row>
    <row r="47" spans="1:8" x14ac:dyDescent="0.25">
      <c r="A47">
        <v>46</v>
      </c>
      <c r="B47" t="str">
        <f>VLOOKUP(A47,Kursantki!A:B,2,0)</f>
        <v>MAGDALENA BIERNAT</v>
      </c>
      <c r="C47" s="10"/>
      <c r="D47" s="37"/>
      <c r="E47" s="38">
        <v>45188</v>
      </c>
      <c r="F47" t="str">
        <f t="shared" ca="1" si="1"/>
        <v>Opłacony</v>
      </c>
      <c r="G47">
        <v>150</v>
      </c>
      <c r="H47" s="12"/>
    </row>
    <row r="48" spans="1:8" x14ac:dyDescent="0.25">
      <c r="A48">
        <v>47</v>
      </c>
      <c r="B48" t="str">
        <f>VLOOKUP(A48,Kursantki!A:B,2,0)</f>
        <v>MARTA MAJWSKA</v>
      </c>
      <c r="C48" s="10"/>
      <c r="D48" s="37"/>
      <c r="E48" s="38">
        <v>45181</v>
      </c>
      <c r="F48" t="str">
        <f t="shared" ca="1" si="1"/>
        <v>Brak płatności</v>
      </c>
      <c r="G48">
        <v>260</v>
      </c>
      <c r="H48" s="12"/>
    </row>
    <row r="49" spans="1:8" x14ac:dyDescent="0.25">
      <c r="A49">
        <v>48</v>
      </c>
      <c r="B49" t="str">
        <f>VLOOKUP(A49,Kursantki!A:B,2,0)</f>
        <v>MARTA OLSZEWSKA</v>
      </c>
      <c r="C49" s="10"/>
      <c r="D49" s="38">
        <v>45014</v>
      </c>
      <c r="E49" s="38">
        <v>45198</v>
      </c>
      <c r="F49" t="str">
        <f t="shared" ca="1" si="1"/>
        <v>Opłacony</v>
      </c>
      <c r="H49" s="12"/>
    </row>
    <row r="50" spans="1:8" x14ac:dyDescent="0.25">
      <c r="A50">
        <v>49</v>
      </c>
      <c r="B50" t="e">
        <f>VLOOKUP(A50,Kursantki!A:B,2,0)</f>
        <v>#N/A</v>
      </c>
      <c r="C50" s="10"/>
      <c r="D50" s="38"/>
      <c r="E50" s="38" t="e">
        <f>VLOOKUP(B50,Kursantki!B:H,7,0)</f>
        <v>#N/A</v>
      </c>
      <c r="F50" t="e">
        <f ca="1">IF($E50&gt;$I$1,"Opłacony","Brak płatności")</f>
        <v>#N/A</v>
      </c>
      <c r="H50" s="12"/>
    </row>
    <row r="51" spans="1:8" x14ac:dyDescent="0.25">
      <c r="A51">
        <v>50</v>
      </c>
      <c r="B51" t="str">
        <f>VLOOKUP(A51,Kursantki!A:B,2,0)</f>
        <v>MILENA MAJWSKA</v>
      </c>
      <c r="C51" s="10"/>
      <c r="D51" s="37"/>
      <c r="E51" s="38">
        <v>45202</v>
      </c>
      <c r="F51" t="str">
        <f t="shared" ca="1" si="1"/>
        <v>Opłacony</v>
      </c>
      <c r="H51" s="12"/>
    </row>
    <row r="52" spans="1:8" x14ac:dyDescent="0.25">
      <c r="A52">
        <v>51</v>
      </c>
      <c r="B52" t="e">
        <f>VLOOKUP(A52,Kursantki!A:B,2,0)</f>
        <v>#N/A</v>
      </c>
      <c r="C52" s="10"/>
      <c r="D52" s="38"/>
      <c r="E52" s="38" t="e">
        <f>VLOOKUP(B52,Kursantki!B:H,7,0)</f>
        <v>#N/A</v>
      </c>
      <c r="F52" t="e">
        <f ca="1">IF($E52&gt;$I$1,"Opłacony","Brak płatności")</f>
        <v>#N/A</v>
      </c>
      <c r="H52" s="12"/>
    </row>
    <row r="53" spans="1:8" x14ac:dyDescent="0.25">
      <c r="A53">
        <v>52</v>
      </c>
      <c r="B53" t="str">
        <f>VLOOKUP(A53,Kursantki!A:B,2,0)</f>
        <v>EWELINA KACZMAREK</v>
      </c>
      <c r="C53" s="10"/>
      <c r="D53" s="37"/>
      <c r="E53" s="39">
        <v>45195</v>
      </c>
      <c r="F53" t="str">
        <f t="shared" ca="1" si="1"/>
        <v>Opłacony</v>
      </c>
      <c r="G53">
        <v>150</v>
      </c>
      <c r="H53" s="34"/>
    </row>
    <row r="54" spans="1:8" x14ac:dyDescent="0.25">
      <c r="A54">
        <v>53</v>
      </c>
      <c r="B54" t="str">
        <f>VLOOKUP(A54,Kursantki!A:B,2,0)</f>
        <v>ANGELIKA JAGSZ</v>
      </c>
      <c r="C54" s="10"/>
      <c r="D54" s="37"/>
      <c r="E54" s="39">
        <v>45195</v>
      </c>
      <c r="F54" t="str">
        <f t="shared" ca="1" si="1"/>
        <v>Opłacony</v>
      </c>
      <c r="H54" s="12"/>
    </row>
    <row r="55" spans="1:8" x14ac:dyDescent="0.25">
      <c r="A55">
        <v>54</v>
      </c>
      <c r="B55" t="e">
        <f>VLOOKUP(A55,Kursantki!A:B,2,0)</f>
        <v>#N/A</v>
      </c>
      <c r="C55" s="10"/>
      <c r="D55" s="38"/>
      <c r="E55" s="38" t="e">
        <f>VLOOKUP(B55,Kursantki!B:H,7,0)</f>
        <v>#N/A</v>
      </c>
      <c r="F55" t="e">
        <f ca="1">IF($E55&gt;$I$1,"Opłacony","Brak płatności")</f>
        <v>#N/A</v>
      </c>
      <c r="H55" s="12"/>
    </row>
    <row r="56" spans="1:8" x14ac:dyDescent="0.25">
      <c r="A56">
        <v>55</v>
      </c>
      <c r="B56" t="str">
        <f>VLOOKUP(A56,Kursantki!A:B,2,0)</f>
        <v>JESSICA KOZAK</v>
      </c>
      <c r="C56" s="10"/>
      <c r="D56" s="37"/>
      <c r="E56" s="39">
        <v>45195</v>
      </c>
      <c r="F56" t="str">
        <f t="shared" ca="1" si="1"/>
        <v>Opłacony</v>
      </c>
      <c r="H56" s="12"/>
    </row>
    <row r="57" spans="1:8" x14ac:dyDescent="0.25">
      <c r="A57">
        <v>56</v>
      </c>
      <c r="B57" t="str">
        <f>VLOOKUP(A57,Kursantki!A:B,2,0)</f>
        <v>BEATA SZYMONIAK</v>
      </c>
      <c r="C57" s="10"/>
      <c r="D57" s="37"/>
      <c r="E57" s="37"/>
      <c r="F57" t="str">
        <f t="shared" ca="1" si="1"/>
        <v>Brak płatności</v>
      </c>
      <c r="H57" s="12" t="s">
        <v>325</v>
      </c>
    </row>
    <row r="58" spans="1:8" x14ac:dyDescent="0.25">
      <c r="A58">
        <v>57</v>
      </c>
      <c r="B58" t="str">
        <f>VLOOKUP(A58,Kursantki!A:B,2,0)</f>
        <v>ANNA KONIECZNA</v>
      </c>
      <c r="C58" s="10"/>
      <c r="D58" s="37"/>
      <c r="E58" s="38">
        <v>45104</v>
      </c>
      <c r="F58" t="str">
        <f t="shared" ca="1" si="1"/>
        <v>Brak płatności</v>
      </c>
      <c r="H58" s="12" t="s">
        <v>326</v>
      </c>
    </row>
    <row r="59" spans="1:8" x14ac:dyDescent="0.25">
      <c r="A59">
        <v>58</v>
      </c>
      <c r="B59" t="str">
        <f>VLOOKUP(A59,Kursantki!A:B,2,0)</f>
        <v>SANDRA STACHOWIAK</v>
      </c>
      <c r="C59" s="10"/>
      <c r="D59" s="38">
        <v>45020</v>
      </c>
      <c r="E59" s="38">
        <v>45167</v>
      </c>
      <c r="F59" t="str">
        <f t="shared" ca="1" si="1"/>
        <v>Brak płatności</v>
      </c>
      <c r="H59" s="12"/>
    </row>
    <row r="60" spans="1:8" x14ac:dyDescent="0.25">
      <c r="A60">
        <v>59</v>
      </c>
      <c r="B60" t="str">
        <f>VLOOKUP(A60,Kursantki!A:B,2,0)</f>
        <v>ANNA GÓRNA</v>
      </c>
      <c r="C60" s="10"/>
      <c r="D60" s="38">
        <v>45002</v>
      </c>
      <c r="E60" s="38">
        <v>45063</v>
      </c>
      <c r="F60" t="str">
        <f t="shared" ca="1" si="1"/>
        <v>Brak płatności</v>
      </c>
      <c r="H60" s="12" t="s">
        <v>57</v>
      </c>
    </row>
    <row r="61" spans="1:8" x14ac:dyDescent="0.25">
      <c r="A61">
        <v>60</v>
      </c>
      <c r="B61" t="str">
        <f>VLOOKUP(A61,Kursantki!A:B,2,0)</f>
        <v>OLESANDRA KOLISNYK</v>
      </c>
      <c r="C61" s="10"/>
      <c r="D61" s="38">
        <v>45020</v>
      </c>
      <c r="E61" s="38">
        <v>45175</v>
      </c>
      <c r="F61" t="str">
        <f t="shared" ca="1" si="1"/>
        <v>Brak płatności</v>
      </c>
      <c r="G61">
        <v>160</v>
      </c>
      <c r="H61" s="12"/>
    </row>
    <row r="62" spans="1:8" x14ac:dyDescent="0.25">
      <c r="A62">
        <v>61</v>
      </c>
      <c r="B62" t="str">
        <f>VLOOKUP(A62,Kursantki!A:B,2,0)</f>
        <v>MARCELINA KUREK</v>
      </c>
      <c r="C62" s="10"/>
      <c r="D62" s="37"/>
      <c r="E62" s="38">
        <v>45069</v>
      </c>
      <c r="F62" t="str">
        <f t="shared" ca="1" si="1"/>
        <v>Brak płatności</v>
      </c>
      <c r="H62" s="12" t="s">
        <v>327</v>
      </c>
    </row>
    <row r="63" spans="1:8" x14ac:dyDescent="0.25">
      <c r="A63">
        <v>62</v>
      </c>
      <c r="B63" t="str">
        <f>VLOOKUP(A63,Kursantki!A:B,2,0)</f>
        <v>OLGA LEMPACH</v>
      </c>
      <c r="C63" s="10"/>
      <c r="D63" s="37"/>
      <c r="E63" s="39">
        <v>45175</v>
      </c>
      <c r="F63" t="str">
        <f t="shared" ca="1" si="1"/>
        <v>Brak płatności</v>
      </c>
      <c r="H63" s="12"/>
    </row>
    <row r="64" spans="1:8" x14ac:dyDescent="0.25">
      <c r="A64">
        <v>63</v>
      </c>
      <c r="B64" t="str">
        <f>VLOOKUP(A64,Kursantki!A:B,2,0)</f>
        <v>KAROLINA BOGUSZ KNAPP</v>
      </c>
      <c r="C64" s="10"/>
      <c r="D64" s="37"/>
      <c r="E64" s="38">
        <v>45189</v>
      </c>
      <c r="F64" t="str">
        <f t="shared" ca="1" si="1"/>
        <v>Opłacony</v>
      </c>
      <c r="G64">
        <v>160</v>
      </c>
      <c r="H64" s="36"/>
    </row>
    <row r="65" spans="1:8" x14ac:dyDescent="0.25">
      <c r="A65">
        <v>64</v>
      </c>
      <c r="B65" t="str">
        <f>VLOOKUP(A65,Kursantki!A:B,2,0)</f>
        <v>JAGODA STEFAŃSKA</v>
      </c>
      <c r="C65" s="10"/>
      <c r="D65" s="38"/>
      <c r="E65" s="38">
        <f>VLOOKUP(B65,Kursantki!B:H,7,0)</f>
        <v>45000</v>
      </c>
      <c r="F65" t="str">
        <f ca="1">IF($E65&gt;$I$1,"Opłacony","Brak płatności")</f>
        <v>Brak płatności</v>
      </c>
      <c r="H65" s="36" t="s">
        <v>57</v>
      </c>
    </row>
    <row r="66" spans="1:8" x14ac:dyDescent="0.25">
      <c r="A66">
        <v>65</v>
      </c>
      <c r="B66" t="str">
        <f>VLOOKUP(A66,Kursantki!A:B,2,0)</f>
        <v>PAULA DOPIERAŁA</v>
      </c>
      <c r="C66" s="10"/>
      <c r="D66" s="38">
        <v>45014</v>
      </c>
      <c r="E66" s="38">
        <v>45196</v>
      </c>
      <c r="F66" t="str">
        <f t="shared" ca="1" si="1"/>
        <v>Opłacony</v>
      </c>
      <c r="G66">
        <v>160</v>
      </c>
      <c r="H66" s="34"/>
    </row>
    <row r="67" spans="1:8" x14ac:dyDescent="0.25">
      <c r="A67">
        <v>66</v>
      </c>
      <c r="B67" t="str">
        <f>VLOOKUP(A67,Kursantki!A:B,2,0)</f>
        <v>JAGODA WOJCIECHOWSKA</v>
      </c>
      <c r="C67" s="10"/>
      <c r="D67" s="37"/>
      <c r="E67" s="38">
        <v>45189</v>
      </c>
      <c r="F67" t="str">
        <f t="shared" ca="1" si="1"/>
        <v>Opłacony</v>
      </c>
      <c r="H67" s="12"/>
    </row>
    <row r="68" spans="1:8" x14ac:dyDescent="0.25">
      <c r="A68">
        <v>67</v>
      </c>
      <c r="B68" t="str">
        <f>VLOOKUP(A68,Kursantki!A:B,2,0)</f>
        <v>AGNIESZKA NOWACKA</v>
      </c>
      <c r="C68" s="10"/>
      <c r="D68" s="37"/>
      <c r="E68" s="39">
        <v>45196</v>
      </c>
      <c r="F68" t="str">
        <f t="shared" ca="1" si="1"/>
        <v>Opłacony</v>
      </c>
      <c r="G68">
        <v>150</v>
      </c>
      <c r="H68" s="34"/>
    </row>
    <row r="69" spans="1:8" x14ac:dyDescent="0.25">
      <c r="A69">
        <v>68</v>
      </c>
      <c r="B69" t="str">
        <f>VLOOKUP(A69,Kursantki!A:B,2,0)</f>
        <v>ANIA JANKOWIAK</v>
      </c>
      <c r="C69" s="10"/>
      <c r="D69" s="37"/>
      <c r="E69" s="38">
        <v>45090</v>
      </c>
      <c r="F69" t="str">
        <f t="shared" ca="1" si="1"/>
        <v>Brak płatności</v>
      </c>
      <c r="H69" s="12" t="s">
        <v>328</v>
      </c>
    </row>
    <row r="70" spans="1:8" x14ac:dyDescent="0.25">
      <c r="A70">
        <v>69</v>
      </c>
      <c r="B70" t="str">
        <f>VLOOKUP(A70,Kursantki!A:B,2,0)</f>
        <v>KAROLINA NOWICKA</v>
      </c>
      <c r="C70" s="10"/>
      <c r="D70" s="37"/>
      <c r="E70" s="38">
        <v>45175</v>
      </c>
      <c r="F70" t="str">
        <f t="shared" ca="1" si="1"/>
        <v>Brak płatności</v>
      </c>
      <c r="G70">
        <v>160</v>
      </c>
      <c r="H70" s="34"/>
    </row>
    <row r="71" spans="1:8" x14ac:dyDescent="0.25">
      <c r="A71">
        <v>70</v>
      </c>
      <c r="B71" t="str">
        <f>VLOOKUP(A71,Kursantki!A:B,2,0)</f>
        <v>DAGMARA HOJSLER</v>
      </c>
      <c r="C71" s="10"/>
      <c r="D71" s="37"/>
      <c r="E71" s="38">
        <v>45182</v>
      </c>
      <c r="F71" t="str">
        <f t="shared" ca="1" si="1"/>
        <v>Brak płatności</v>
      </c>
      <c r="G71">
        <v>150</v>
      </c>
      <c r="H71" s="12" t="s">
        <v>329</v>
      </c>
    </row>
    <row r="72" spans="1:8" x14ac:dyDescent="0.25">
      <c r="A72">
        <v>71</v>
      </c>
      <c r="B72" t="str">
        <f>VLOOKUP(A72,Kursantki!A:B,2,0)</f>
        <v>WERONIKA GRONEK</v>
      </c>
      <c r="C72" s="10"/>
      <c r="D72" s="37"/>
      <c r="E72" s="38">
        <v>45173</v>
      </c>
      <c r="F72" t="str">
        <f t="shared" ca="1" si="1"/>
        <v>Brak płatności</v>
      </c>
      <c r="H72" s="12"/>
    </row>
    <row r="73" spans="1:8" x14ac:dyDescent="0.25">
      <c r="A73">
        <v>72</v>
      </c>
      <c r="B73" t="str">
        <f>VLOOKUP(A73,Kursantki!A:B,2,0)</f>
        <v>TATIANA KĄKOLEWSKA</v>
      </c>
      <c r="C73" s="10"/>
      <c r="D73" s="37"/>
      <c r="E73" s="38">
        <v>45175</v>
      </c>
      <c r="F73" t="str">
        <f t="shared" ca="1" si="1"/>
        <v>Brak płatności</v>
      </c>
      <c r="G73">
        <v>150</v>
      </c>
      <c r="H73" s="33" t="s">
        <v>320</v>
      </c>
    </row>
    <row r="74" spans="1:8" x14ac:dyDescent="0.25">
      <c r="A74">
        <v>73</v>
      </c>
      <c r="B74" t="str">
        <f>VLOOKUP(A74,Kursantki!A:B,2,0)</f>
        <v>LENA PAZOŁA</v>
      </c>
      <c r="C74" s="10"/>
      <c r="D74" s="38">
        <v>45029</v>
      </c>
      <c r="E74" s="38">
        <v>45175</v>
      </c>
      <c r="F74" t="str">
        <f t="shared" ca="1" si="1"/>
        <v>Brak płatności</v>
      </c>
      <c r="G74">
        <v>150</v>
      </c>
      <c r="H74" s="12"/>
    </row>
    <row r="75" spans="1:8" x14ac:dyDescent="0.25">
      <c r="A75">
        <v>74</v>
      </c>
      <c r="B75" t="str">
        <f>VLOOKUP(A75,Kursantki!A:B,2,0)</f>
        <v>MAŁGORZATA SMĘTKAŁA</v>
      </c>
      <c r="C75" s="10"/>
      <c r="D75" s="37"/>
      <c r="E75" s="38">
        <v>45184</v>
      </c>
      <c r="F75" t="str">
        <f t="shared" ca="1" si="1"/>
        <v>Opłacony</v>
      </c>
      <c r="G75">
        <v>150</v>
      </c>
      <c r="H75" s="12"/>
    </row>
    <row r="76" spans="1:8" x14ac:dyDescent="0.25">
      <c r="A76">
        <v>75</v>
      </c>
      <c r="B76" t="e">
        <f>VLOOKUP(A76,Kursantki!A:B,2,0)</f>
        <v>#N/A</v>
      </c>
      <c r="C76" s="10"/>
      <c r="D76" s="38"/>
      <c r="E76" s="38" t="e">
        <f>VLOOKUP(B76,Kursantki!B:H,7,0)</f>
        <v>#N/A</v>
      </c>
      <c r="F76" t="e">
        <f ca="1">IF($E76&gt;$I$1,"Opłacony","Brak płatności")</f>
        <v>#N/A</v>
      </c>
      <c r="H76" s="12"/>
    </row>
    <row r="77" spans="1:8" x14ac:dyDescent="0.25">
      <c r="A77">
        <v>76</v>
      </c>
      <c r="B77" t="e">
        <f>VLOOKUP(A77,Kursantki!A:B,2,0)</f>
        <v>#N/A</v>
      </c>
      <c r="C77" s="10"/>
      <c r="D77" s="38"/>
      <c r="E77" s="38" t="e">
        <f>VLOOKUP(B77,Kursantki!B:H,7,0)</f>
        <v>#N/A</v>
      </c>
      <c r="F77" t="e">
        <f ca="1">IF($E77&gt;$I$1,"Opłacony","Brak płatności")</f>
        <v>#N/A</v>
      </c>
      <c r="H77" s="12"/>
    </row>
    <row r="78" spans="1:8" x14ac:dyDescent="0.25">
      <c r="A78">
        <v>77</v>
      </c>
      <c r="B78" t="str">
        <f>VLOOKUP(A78,Kursantki!A:B,2,0)</f>
        <v>NATALIA KRAJKA</v>
      </c>
      <c r="C78" s="10"/>
      <c r="D78" s="38">
        <v>45120</v>
      </c>
      <c r="E78" s="38">
        <v>45169</v>
      </c>
      <c r="F78" t="str">
        <f t="shared" ca="1" si="1"/>
        <v>Brak płatności</v>
      </c>
      <c r="G78">
        <v>160</v>
      </c>
      <c r="H78" s="12"/>
    </row>
    <row r="79" spans="1:8" x14ac:dyDescent="0.25">
      <c r="A79">
        <v>78</v>
      </c>
      <c r="B79" t="str">
        <f>VLOOKUP(A79,Kursantki!A:B,2,0)</f>
        <v>IWONA JANKOWIAK</v>
      </c>
      <c r="C79" s="10"/>
      <c r="D79" s="38">
        <v>45106</v>
      </c>
      <c r="E79" s="38">
        <v>45127</v>
      </c>
      <c r="F79" t="str">
        <f t="shared" ca="1" si="1"/>
        <v>Brak płatności</v>
      </c>
      <c r="G79">
        <v>160</v>
      </c>
      <c r="H79" s="12" t="s">
        <v>330</v>
      </c>
    </row>
    <row r="80" spans="1:8" x14ac:dyDescent="0.25">
      <c r="A80">
        <v>79</v>
      </c>
      <c r="B80" t="str">
        <f>VLOOKUP(A80,Kursantki!A:B,2,0)</f>
        <v>KASIA WOJCIECHOWSKA</v>
      </c>
      <c r="C80" s="10"/>
      <c r="D80" s="38">
        <v>45092</v>
      </c>
      <c r="E80" s="38">
        <v>45176</v>
      </c>
      <c r="F80" t="str">
        <f t="shared" ca="1" si="1"/>
        <v>Brak płatności</v>
      </c>
      <c r="G80">
        <v>150</v>
      </c>
      <c r="H80" s="12"/>
    </row>
    <row r="81" spans="1:8" x14ac:dyDescent="0.25">
      <c r="A81">
        <v>80</v>
      </c>
      <c r="B81" t="str">
        <f>VLOOKUP(A81,Kursantki!A:B,2,0)</f>
        <v>MARTA KRAJKA</v>
      </c>
      <c r="C81" s="10"/>
      <c r="D81" s="38">
        <v>45120</v>
      </c>
      <c r="E81" s="38">
        <v>45176</v>
      </c>
      <c r="F81" t="str">
        <f t="shared" ref="F81:F116" ca="1" si="2">IF($E81&gt;$I$1,"Opłacony","Brak płatności")</f>
        <v>Brak płatności</v>
      </c>
      <c r="G81">
        <v>160</v>
      </c>
      <c r="H81" s="12"/>
    </row>
    <row r="82" spans="1:8" x14ac:dyDescent="0.25">
      <c r="A82">
        <v>81</v>
      </c>
      <c r="B82" t="e">
        <f>VLOOKUP(A82,Kursantki!A:B,2,0)</f>
        <v>#N/A</v>
      </c>
      <c r="C82" s="10"/>
      <c r="D82" s="37"/>
      <c r="E82" s="37"/>
      <c r="F82" t="str">
        <f t="shared" ca="1" si="2"/>
        <v>Brak płatności</v>
      </c>
      <c r="H82" s="12"/>
    </row>
    <row r="83" spans="1:8" x14ac:dyDescent="0.25">
      <c r="A83">
        <v>82</v>
      </c>
      <c r="B83" t="str">
        <f>VLOOKUP(A83,Kursantki!A:B,2,0)</f>
        <v>JULIA ANDZEJCZAK</v>
      </c>
      <c r="C83" s="10"/>
      <c r="D83" s="37"/>
      <c r="E83" s="37"/>
      <c r="F83" t="str">
        <f t="shared" ca="1" si="2"/>
        <v>Brak płatności</v>
      </c>
      <c r="H83" s="12" t="s">
        <v>323</v>
      </c>
    </row>
    <row r="84" spans="1:8" x14ac:dyDescent="0.25">
      <c r="A84">
        <v>83</v>
      </c>
      <c r="B84" t="str">
        <f>VLOOKUP(A84,Kursantki!A:B,2,0)</f>
        <v>DARIA TALAGA</v>
      </c>
      <c r="C84" s="10"/>
      <c r="D84" s="37"/>
      <c r="E84" s="37"/>
      <c r="F84" t="str">
        <f t="shared" ca="1" si="2"/>
        <v>Brak płatności</v>
      </c>
      <c r="G84">
        <v>150</v>
      </c>
      <c r="H84" s="12" t="s">
        <v>323</v>
      </c>
    </row>
    <row r="85" spans="1:8" x14ac:dyDescent="0.25">
      <c r="A85">
        <v>84</v>
      </c>
      <c r="B85" t="str">
        <f>VLOOKUP(A85,Kursantki!A:B,2,0)</f>
        <v>KAROLINA GRZEŚKOWIAK</v>
      </c>
      <c r="C85" s="10"/>
      <c r="D85" s="37"/>
      <c r="E85" s="38">
        <v>45108</v>
      </c>
      <c r="F85" t="str">
        <f t="shared" ca="1" si="2"/>
        <v>Brak płatności</v>
      </c>
      <c r="G85">
        <v>150</v>
      </c>
      <c r="H85" s="12" t="s">
        <v>323</v>
      </c>
    </row>
    <row r="86" spans="1:8" x14ac:dyDescent="0.25">
      <c r="A86">
        <v>85</v>
      </c>
      <c r="B86" t="str">
        <f>VLOOKUP(A86,Kursantki!A:B,2,0)</f>
        <v>ALICJA TOMCZAK</v>
      </c>
      <c r="C86" s="10"/>
      <c r="D86" s="38">
        <v>45015</v>
      </c>
      <c r="E86" s="38">
        <v>45110</v>
      </c>
      <c r="F86" t="str">
        <f t="shared" ca="1" si="2"/>
        <v>Brak płatności</v>
      </c>
      <c r="G86">
        <v>150</v>
      </c>
      <c r="H86" s="12" t="s">
        <v>331</v>
      </c>
    </row>
    <row r="87" spans="1:8" x14ac:dyDescent="0.25">
      <c r="A87">
        <v>86</v>
      </c>
      <c r="B87" t="str">
        <f>VLOOKUP(A87,Kursantki!A:B,2,0)</f>
        <v>IZABELA MICHAŁOWSKA</v>
      </c>
      <c r="C87" s="10"/>
      <c r="D87" s="37"/>
      <c r="E87" s="39">
        <v>45110</v>
      </c>
      <c r="F87" t="str">
        <f t="shared" ca="1" si="2"/>
        <v>Brak płatności</v>
      </c>
      <c r="H87" s="33"/>
    </row>
    <row r="88" spans="1:8" x14ac:dyDescent="0.25">
      <c r="A88">
        <v>87</v>
      </c>
      <c r="B88" t="str">
        <f>VLOOKUP(A88,Kursantki!A:B,2,0)</f>
        <v>EWELINA NIEDZIELA</v>
      </c>
      <c r="C88" s="10"/>
      <c r="D88" s="37"/>
      <c r="E88" s="37"/>
      <c r="F88" t="str">
        <f t="shared" ca="1" si="2"/>
        <v>Brak płatności</v>
      </c>
      <c r="G88">
        <v>150</v>
      </c>
      <c r="H88" s="12" t="s">
        <v>332</v>
      </c>
    </row>
    <row r="89" spans="1:8" x14ac:dyDescent="0.25">
      <c r="A89">
        <v>88</v>
      </c>
      <c r="B89" t="str">
        <f>VLOOKUP(A89,Kursantki!A:B,2,0)</f>
        <v>WERONIKA KŁAKULAK</v>
      </c>
      <c r="C89" s="10"/>
      <c r="D89" s="37"/>
      <c r="E89" s="38">
        <v>45056</v>
      </c>
      <c r="F89" t="str">
        <f t="shared" ca="1" si="2"/>
        <v>Brak płatności</v>
      </c>
      <c r="G89">
        <v>150</v>
      </c>
      <c r="H89" s="12" t="s">
        <v>332</v>
      </c>
    </row>
    <row r="90" spans="1:8" x14ac:dyDescent="0.25">
      <c r="A90">
        <v>89</v>
      </c>
      <c r="B90" t="str">
        <f>VLOOKUP(A90,Kursantki!A:B,2,0)</f>
        <v>ANNA BARTKOWIAK</v>
      </c>
      <c r="C90" s="10"/>
      <c r="D90" s="38">
        <v>45106</v>
      </c>
      <c r="E90" s="38">
        <v>45162</v>
      </c>
      <c r="F90" t="str">
        <f t="shared" ca="1" si="2"/>
        <v>Brak płatności</v>
      </c>
      <c r="G90">
        <v>160</v>
      </c>
      <c r="H90" s="12"/>
    </row>
    <row r="91" spans="1:8" x14ac:dyDescent="0.25">
      <c r="A91">
        <v>90</v>
      </c>
      <c r="B91" t="str">
        <f>VLOOKUP(A91,Kursantki!A:B,2,0)</f>
        <v>OLIWIA OLEJNICZAK</v>
      </c>
      <c r="C91" s="10"/>
      <c r="D91" s="38"/>
      <c r="E91" s="38">
        <v>45141</v>
      </c>
      <c r="F91" t="str">
        <f t="shared" ca="1" si="2"/>
        <v>Brak płatności</v>
      </c>
      <c r="H91" s="12" t="s">
        <v>323</v>
      </c>
    </row>
    <row r="92" spans="1:8" x14ac:dyDescent="0.25">
      <c r="A92">
        <v>91</v>
      </c>
      <c r="B92" t="str">
        <f>VLOOKUP(A92,Kursantki!A:B,2,0)</f>
        <v>AMANDA MAJCHRZAK</v>
      </c>
      <c r="C92" s="10"/>
      <c r="D92" s="37"/>
      <c r="E92" s="38">
        <v>45169</v>
      </c>
      <c r="F92" t="str">
        <f t="shared" ca="1" si="2"/>
        <v>Brak płatności</v>
      </c>
      <c r="G92">
        <v>150</v>
      </c>
      <c r="H92" s="12"/>
    </row>
    <row r="93" spans="1:8" x14ac:dyDescent="0.25">
      <c r="A93">
        <v>92</v>
      </c>
      <c r="B93" t="str">
        <f>VLOOKUP(A93,Kursantki!A:B,2,0)</f>
        <v>NIKOLA KORDUS</v>
      </c>
      <c r="C93" s="10"/>
      <c r="D93" s="38">
        <v>45015</v>
      </c>
      <c r="E93" s="38">
        <v>45169</v>
      </c>
      <c r="F93" t="str">
        <f t="shared" ca="1" si="2"/>
        <v>Brak płatności</v>
      </c>
      <c r="G93">
        <v>300</v>
      </c>
      <c r="H93" s="12"/>
    </row>
    <row r="94" spans="1:8" x14ac:dyDescent="0.25">
      <c r="A94">
        <v>93</v>
      </c>
      <c r="B94" t="str">
        <f>VLOOKUP(A94,Kursantki!A:B,2,0)</f>
        <v>KATARZYNA BOROWSKA</v>
      </c>
      <c r="C94" s="10"/>
      <c r="D94" s="38">
        <v>45099</v>
      </c>
      <c r="E94" s="38">
        <v>45120</v>
      </c>
      <c r="F94" t="str">
        <f t="shared" ca="1" si="2"/>
        <v>Brak płatności</v>
      </c>
      <c r="H94" s="12" t="s">
        <v>333</v>
      </c>
    </row>
    <row r="95" spans="1:8" x14ac:dyDescent="0.25">
      <c r="A95">
        <v>94</v>
      </c>
      <c r="B95" t="str">
        <f>VLOOKUP(A95,Kursantki!A:B,2,0)</f>
        <v>LIDIA KOSMACIŃSKA-MAYER</v>
      </c>
      <c r="C95" s="10"/>
      <c r="D95" s="38">
        <v>45012</v>
      </c>
      <c r="E95" s="38">
        <v>45065</v>
      </c>
      <c r="F95" t="str">
        <f t="shared" ca="1" si="2"/>
        <v>Brak płatności</v>
      </c>
      <c r="H95" s="12" t="s">
        <v>323</v>
      </c>
    </row>
    <row r="96" spans="1:8" x14ac:dyDescent="0.25">
      <c r="A96">
        <v>95</v>
      </c>
      <c r="B96" t="str">
        <f>VLOOKUP(A96,Kursantki!A:B,2,0)</f>
        <v>GOSIA KASPRZYŃSKA</v>
      </c>
      <c r="C96" s="10"/>
      <c r="D96" s="37"/>
      <c r="E96" s="37"/>
      <c r="F96" t="str">
        <f t="shared" ca="1" si="2"/>
        <v>Brak płatności</v>
      </c>
      <c r="H96" s="12" t="s">
        <v>323</v>
      </c>
    </row>
    <row r="97" spans="1:8" x14ac:dyDescent="0.25">
      <c r="A97">
        <v>96</v>
      </c>
      <c r="B97" t="str">
        <f>VLOOKUP(A97,Kursantki!A:B,2,0)</f>
        <v>ALEKSANDRA STANISZEWSKA</v>
      </c>
      <c r="C97" s="10"/>
      <c r="D97" s="37"/>
      <c r="E97" s="39">
        <v>45174</v>
      </c>
      <c r="F97" t="str">
        <f t="shared" ca="1" si="2"/>
        <v>Brak płatności</v>
      </c>
      <c r="H97" s="12"/>
    </row>
    <row r="98" spans="1:8" x14ac:dyDescent="0.25">
      <c r="A98">
        <v>97</v>
      </c>
      <c r="B98" t="e">
        <f>VLOOKUP(A98,Kursantki!A:B,2,0)</f>
        <v>#N/A</v>
      </c>
      <c r="C98" s="10"/>
      <c r="D98" s="38"/>
      <c r="E98" s="38" t="e">
        <f>VLOOKUP(B98,Kursantki!B:H,7,0)</f>
        <v>#N/A</v>
      </c>
      <c r="F98" t="e">
        <f ca="1">IF($E98&gt;$I$1,"Opłacony","Brak płatności")</f>
        <v>#N/A</v>
      </c>
      <c r="H98" s="12"/>
    </row>
    <row r="99" spans="1:8" x14ac:dyDescent="0.25">
      <c r="A99">
        <v>98</v>
      </c>
      <c r="B99" t="str">
        <f>VLOOKUP(A99,Kursantki!A:B,2,0)</f>
        <v>ALINA STRÓŻYŃSKA</v>
      </c>
      <c r="C99" s="10"/>
      <c r="D99" s="38"/>
      <c r="E99" s="38">
        <v>45106</v>
      </c>
      <c r="F99" t="str">
        <f ca="1">IF($E99&gt;$I$1,"Opłacony","Brak płatności")</f>
        <v>Brak płatności</v>
      </c>
      <c r="H99" s="12" t="s">
        <v>323</v>
      </c>
    </row>
    <row r="100" spans="1:8" x14ac:dyDescent="0.25">
      <c r="A100">
        <v>99</v>
      </c>
      <c r="B100" t="e">
        <f>VLOOKUP(A100,Kursantki!A:B,2,0)</f>
        <v>#N/A</v>
      </c>
      <c r="C100" s="10"/>
      <c r="D100" s="38"/>
      <c r="E100" s="38" t="e">
        <f>VLOOKUP(B100,Kursantki!B:H,7,0)</f>
        <v>#N/A</v>
      </c>
      <c r="F100" t="e">
        <f ca="1">IF($E100&gt;$I$1,"Opłacony","Brak płatności")</f>
        <v>#N/A</v>
      </c>
      <c r="H100" s="12"/>
    </row>
    <row r="101" spans="1:8" x14ac:dyDescent="0.25">
      <c r="A101">
        <v>100</v>
      </c>
      <c r="B101" t="str">
        <f>VLOOKUP(A101,Kursantki!A:B,2,0)</f>
        <v>JESSICA GRZESIEK</v>
      </c>
      <c r="C101" s="10"/>
      <c r="D101" s="38">
        <v>45020</v>
      </c>
      <c r="E101" s="38">
        <v>45189</v>
      </c>
      <c r="F101" t="str">
        <f t="shared" ca="1" si="2"/>
        <v>Opłacony</v>
      </c>
      <c r="G101">
        <v>150</v>
      </c>
      <c r="H101" s="12"/>
    </row>
    <row r="102" spans="1:8" x14ac:dyDescent="0.25">
      <c r="A102">
        <v>101</v>
      </c>
      <c r="B102" t="str">
        <f>VLOOKUP(A102,Kursantki!A:B,2,0)</f>
        <v>LAURA WOSIŃSKA</v>
      </c>
      <c r="C102" s="10"/>
      <c r="D102" s="38">
        <v>45020</v>
      </c>
      <c r="E102" s="38">
        <v>45161</v>
      </c>
      <c r="F102" t="str">
        <f t="shared" ca="1" si="2"/>
        <v>Brak płatności</v>
      </c>
      <c r="H102" s="12" t="s">
        <v>334</v>
      </c>
    </row>
    <row r="103" spans="1:8" x14ac:dyDescent="0.25">
      <c r="A103">
        <v>102</v>
      </c>
      <c r="B103" t="str">
        <f>VLOOKUP(A103,Kursantki!A:B,2,0)</f>
        <v>OLA GEMBALSKA</v>
      </c>
      <c r="C103" s="10"/>
      <c r="D103" s="38">
        <v>45020</v>
      </c>
      <c r="E103" s="38">
        <v>45196</v>
      </c>
      <c r="F103" t="str">
        <f t="shared" ca="1" si="2"/>
        <v>Opłacony</v>
      </c>
      <c r="G103">
        <v>160</v>
      </c>
      <c r="H103" s="12"/>
    </row>
    <row r="104" spans="1:8" x14ac:dyDescent="0.25">
      <c r="A104">
        <v>103</v>
      </c>
      <c r="B104" t="str">
        <f>VLOOKUP(A104,Kursantki!A:B,2,0)</f>
        <v>NIKOLA KUCZYŃSKA</v>
      </c>
      <c r="C104" s="10"/>
      <c r="D104" s="37"/>
      <c r="E104" s="37"/>
      <c r="F104" t="str">
        <f t="shared" ca="1" si="2"/>
        <v>Brak płatności</v>
      </c>
      <c r="H104" s="12" t="s">
        <v>106</v>
      </c>
    </row>
    <row r="105" spans="1:8" x14ac:dyDescent="0.25">
      <c r="A105">
        <v>104</v>
      </c>
      <c r="B105" t="str">
        <f>VLOOKUP(A105,Kursantki!A:B,2,0)</f>
        <v>MAJA KRZYŻOSZCZAK</v>
      </c>
      <c r="C105" s="10"/>
      <c r="D105" s="37"/>
      <c r="E105" s="39">
        <v>45198</v>
      </c>
      <c r="F105" t="str">
        <f t="shared" ca="1" si="2"/>
        <v>Opłacony</v>
      </c>
      <c r="G105">
        <v>150</v>
      </c>
      <c r="H105" s="12"/>
    </row>
    <row r="106" spans="1:8" x14ac:dyDescent="0.25">
      <c r="A106">
        <v>105</v>
      </c>
      <c r="B106" t="str">
        <f>VLOOKUP(A106,Kursantki!A:B,2,0)</f>
        <v>MONIKA BIERNACKA</v>
      </c>
      <c r="C106" s="10"/>
      <c r="D106" s="37"/>
      <c r="E106" s="37"/>
      <c r="F106" t="str">
        <f t="shared" ca="1" si="2"/>
        <v>Brak płatności</v>
      </c>
      <c r="H106" s="12" t="s">
        <v>57</v>
      </c>
    </row>
    <row r="107" spans="1:8" x14ac:dyDescent="0.25">
      <c r="A107">
        <v>106</v>
      </c>
      <c r="B107" t="e">
        <f>VLOOKUP(A107,Kursantki!A:B,2,0)</f>
        <v>#N/A</v>
      </c>
      <c r="C107" s="10"/>
      <c r="D107" s="38"/>
      <c r="E107" s="38" t="e">
        <f>VLOOKUP(B107,Kursantki!B:H,7,0)</f>
        <v>#N/A</v>
      </c>
      <c r="F107" t="e">
        <f ca="1">IF($E107&gt;$I$1,"Opłacony","Brak płatności")</f>
        <v>#N/A</v>
      </c>
      <c r="H107" s="12"/>
    </row>
    <row r="108" spans="1:8" x14ac:dyDescent="0.25">
      <c r="A108">
        <v>107</v>
      </c>
      <c r="B108" t="str">
        <f>VLOOKUP(A108,Kursantki!A:B,2,0)</f>
        <v>ANETA JĘDRZEJCZAK</v>
      </c>
      <c r="C108" s="10"/>
      <c r="D108" s="37"/>
      <c r="E108" s="39">
        <v>45177</v>
      </c>
      <c r="F108" t="str">
        <f t="shared" ca="1" si="2"/>
        <v>Brak płatności</v>
      </c>
      <c r="G108">
        <v>150</v>
      </c>
      <c r="H108" s="33" t="s">
        <v>335</v>
      </c>
    </row>
    <row r="109" spans="1:8" x14ac:dyDescent="0.25">
      <c r="A109">
        <v>108</v>
      </c>
      <c r="B109" t="str">
        <f>VLOOKUP(A109,Kursantki!A:B,2,0)</f>
        <v>SANDRA GUNIA</v>
      </c>
      <c r="C109" s="10"/>
      <c r="D109" s="38">
        <v>45020</v>
      </c>
      <c r="E109" s="38">
        <v>45078</v>
      </c>
      <c r="F109" t="str">
        <f t="shared" ca="1" si="2"/>
        <v>Brak płatności</v>
      </c>
      <c r="H109" s="12" t="s">
        <v>336</v>
      </c>
    </row>
    <row r="110" spans="1:8" x14ac:dyDescent="0.25">
      <c r="A110">
        <v>109</v>
      </c>
      <c r="B110" t="str">
        <f>VLOOKUP(A110,Kursantki!A:B,2,0)</f>
        <v>PAULA TYCZEWSKA</v>
      </c>
      <c r="C110" s="10"/>
      <c r="D110" s="38">
        <v>45020</v>
      </c>
      <c r="E110" s="38">
        <v>45198</v>
      </c>
      <c r="F110" t="str">
        <f t="shared" ca="1" si="2"/>
        <v>Opłacony</v>
      </c>
      <c r="G110">
        <v>150</v>
      </c>
      <c r="H110" s="12"/>
    </row>
    <row r="111" spans="1:8" x14ac:dyDescent="0.25">
      <c r="A111">
        <v>110</v>
      </c>
      <c r="B111" t="str">
        <f>VLOOKUP(A111,Kursantki!A:B,2,0)</f>
        <v>ANNA LANGER</v>
      </c>
      <c r="C111" s="10"/>
      <c r="D111" s="37"/>
      <c r="E111" s="39">
        <v>45198</v>
      </c>
      <c r="F111" t="str">
        <f t="shared" ca="1" si="2"/>
        <v>Opłacony</v>
      </c>
      <c r="H111" s="12"/>
    </row>
    <row r="112" spans="1:8" x14ac:dyDescent="0.25">
      <c r="A112">
        <v>111</v>
      </c>
      <c r="B112" t="str">
        <f>VLOOKUP(A112,Kursantki!A:B,2,0)</f>
        <v>MAGDALENA JAKUSZKOWIAK</v>
      </c>
      <c r="C112" s="10"/>
      <c r="D112" s="37"/>
      <c r="E112" s="39">
        <v>45177</v>
      </c>
      <c r="F112" t="str">
        <f t="shared" ca="1" si="2"/>
        <v>Brak płatności</v>
      </c>
      <c r="G112">
        <v>260</v>
      </c>
      <c r="H112" s="12" t="s">
        <v>337</v>
      </c>
    </row>
    <row r="113" spans="1:10" x14ac:dyDescent="0.25">
      <c r="A113">
        <v>112</v>
      </c>
      <c r="B113" t="str">
        <f>VLOOKUP(A113,Kursantki!A:B,2,0)</f>
        <v>ANNA ZBIERALSKA</v>
      </c>
      <c r="C113" s="10"/>
      <c r="D113" s="38">
        <v>45020</v>
      </c>
      <c r="E113" s="38">
        <v>45198</v>
      </c>
      <c r="F113" t="str">
        <f t="shared" ca="1" si="2"/>
        <v>Opłacony</v>
      </c>
      <c r="H113" s="12"/>
    </row>
    <row r="114" spans="1:10" x14ac:dyDescent="0.25">
      <c r="A114">
        <v>113</v>
      </c>
      <c r="B114" t="str">
        <f>VLOOKUP(A114,Kursantki!A:B,2,0)</f>
        <v>ZOSIA GUNIA</v>
      </c>
      <c r="C114" s="10"/>
      <c r="D114" s="37"/>
      <c r="E114" s="38">
        <v>45198</v>
      </c>
      <c r="F114" t="str">
        <f t="shared" ca="1" si="2"/>
        <v>Opłacony</v>
      </c>
      <c r="H114" s="12"/>
      <c r="J114" t="s">
        <v>338</v>
      </c>
    </row>
    <row r="115" spans="1:10" x14ac:dyDescent="0.25">
      <c r="A115">
        <v>114</v>
      </c>
      <c r="B115" t="str">
        <f>VLOOKUP(A115,Kursantki!A:B,2,0)</f>
        <v>WIKTORIA OKRĘT</v>
      </c>
      <c r="C115" s="10"/>
      <c r="D115" s="37"/>
      <c r="E115" s="38">
        <v>45161</v>
      </c>
      <c r="F115" t="str">
        <f t="shared" ca="1" si="2"/>
        <v>Brak płatności</v>
      </c>
      <c r="G115">
        <v>150</v>
      </c>
      <c r="H115" s="12" t="s">
        <v>339</v>
      </c>
    </row>
    <row r="116" spans="1:10" x14ac:dyDescent="0.25">
      <c r="A116">
        <v>115</v>
      </c>
      <c r="B116" t="str">
        <f>VLOOKUP(A116,Kursantki!A:B,2,0)</f>
        <v>SYLWIA CIESIELSKA</v>
      </c>
      <c r="C116" s="10"/>
      <c r="D116" s="38">
        <v>45012</v>
      </c>
      <c r="E116" s="38">
        <v>45191</v>
      </c>
      <c r="F116" t="str">
        <f t="shared" ca="1" si="2"/>
        <v>Opłacony</v>
      </c>
      <c r="G116">
        <v>30</v>
      </c>
      <c r="H116" s="12"/>
    </row>
    <row r="117" spans="1:10" x14ac:dyDescent="0.25">
      <c r="A117">
        <v>116</v>
      </c>
      <c r="B117" t="str">
        <f>VLOOKUP(A117,Kursantki!A:B,2,0)</f>
        <v>DANUTA SOBIERAJSKA</v>
      </c>
      <c r="C117" s="10"/>
      <c r="D117" s="38">
        <v>45020</v>
      </c>
      <c r="E117" s="38">
        <v>45198</v>
      </c>
      <c r="F117" t="str">
        <f t="shared" ref="F117:F152" ca="1" si="3">IF($E117&gt;$I$1,"Opłacony","Brak płatności")</f>
        <v>Opłacony</v>
      </c>
      <c r="H117" s="12"/>
    </row>
    <row r="118" spans="1:10" x14ac:dyDescent="0.25">
      <c r="A118">
        <v>117</v>
      </c>
      <c r="B118" t="str">
        <f>VLOOKUP(A118,Kursantki!A:B,2,0)</f>
        <v>ZUZANNA JARECKA</v>
      </c>
      <c r="C118" s="10"/>
      <c r="D118" s="37"/>
      <c r="E118" s="38">
        <v>45161</v>
      </c>
      <c r="F118" t="str">
        <f t="shared" ca="1" si="3"/>
        <v>Brak płatności</v>
      </c>
      <c r="G118">
        <v>150</v>
      </c>
      <c r="H118" s="12" t="s">
        <v>314</v>
      </c>
    </row>
    <row r="119" spans="1:10" x14ac:dyDescent="0.25">
      <c r="A119">
        <v>118</v>
      </c>
      <c r="B119" t="str">
        <f>VLOOKUP(A119,Kursantki!A:B,2,0)</f>
        <v>IGA JARECKA</v>
      </c>
      <c r="C119" s="10"/>
      <c r="D119" s="37"/>
      <c r="E119" s="38">
        <v>45189</v>
      </c>
      <c r="F119" t="str">
        <f t="shared" ca="1" si="3"/>
        <v>Opłacony</v>
      </c>
      <c r="G119">
        <v>150</v>
      </c>
      <c r="H119" s="12"/>
    </row>
    <row r="120" spans="1:10" x14ac:dyDescent="0.25">
      <c r="A120">
        <v>119</v>
      </c>
      <c r="B120" t="str">
        <f>VLOOKUP(A120,Kursantki!A:B,2,0)</f>
        <v>MARTYNA BORUSZEWSKA</v>
      </c>
      <c r="C120" s="10"/>
      <c r="D120" s="37"/>
      <c r="E120" s="38">
        <v>45175</v>
      </c>
      <c r="F120" t="str">
        <f t="shared" ca="1" si="3"/>
        <v>Brak płatności</v>
      </c>
      <c r="G120">
        <v>160</v>
      </c>
      <c r="H120" s="12"/>
    </row>
    <row r="121" spans="1:10" x14ac:dyDescent="0.25">
      <c r="A121">
        <v>120</v>
      </c>
      <c r="B121" t="str">
        <f>VLOOKUP(A121,Kursantki!A:B,2,0)</f>
        <v>NATASZA BRYLEWSKA</v>
      </c>
      <c r="C121" s="10"/>
      <c r="D121" s="37"/>
      <c r="E121" s="38">
        <v>45196</v>
      </c>
      <c r="F121" t="str">
        <f t="shared" ca="1" si="3"/>
        <v>Opłacony</v>
      </c>
      <c r="G121">
        <v>160</v>
      </c>
      <c r="H121" s="12"/>
    </row>
    <row r="122" spans="1:10" x14ac:dyDescent="0.25">
      <c r="A122">
        <v>121</v>
      </c>
      <c r="B122" t="str">
        <f>VLOOKUP(A122,Kursantki!A:B,2,0)</f>
        <v>HANIA JUSZKIEWICZ</v>
      </c>
      <c r="C122" s="10"/>
      <c r="D122" s="37"/>
      <c r="E122" s="39">
        <v>45167</v>
      </c>
      <c r="F122" t="str">
        <f t="shared" ca="1" si="3"/>
        <v>Brak płatności</v>
      </c>
      <c r="H122" s="12"/>
    </row>
    <row r="123" spans="1:10" x14ac:dyDescent="0.25">
      <c r="A123">
        <v>122</v>
      </c>
      <c r="B123" t="str">
        <f>VLOOKUP(A123,Kursantki!A:B,2,0)</f>
        <v>KINGA SIERADZKA</v>
      </c>
      <c r="C123" s="10"/>
      <c r="D123" s="37"/>
      <c r="E123" s="39">
        <v>45086</v>
      </c>
      <c r="F123" t="str">
        <f t="shared" ca="1" si="3"/>
        <v>Brak płatności</v>
      </c>
      <c r="H123" s="12" t="s">
        <v>340</v>
      </c>
    </row>
    <row r="124" spans="1:10" x14ac:dyDescent="0.25">
      <c r="A124">
        <v>123</v>
      </c>
      <c r="B124" t="str">
        <f>VLOOKUP(A124,Kursantki!A:B,2,0)</f>
        <v>KATARZYNA JANKOWIAK</v>
      </c>
      <c r="C124" s="10"/>
      <c r="D124" s="37"/>
      <c r="E124" s="39">
        <v>45184</v>
      </c>
      <c r="F124" t="str">
        <f t="shared" ca="1" si="3"/>
        <v>Opłacony</v>
      </c>
      <c r="H124" s="12"/>
    </row>
    <row r="125" spans="1:10" x14ac:dyDescent="0.25">
      <c r="A125">
        <v>124</v>
      </c>
      <c r="B125" t="str">
        <f>VLOOKUP(A125,Kursantki!A:B,2,0)</f>
        <v>JOWITA STACHOWIAK</v>
      </c>
      <c r="C125" s="10"/>
      <c r="D125" s="38">
        <v>45002</v>
      </c>
      <c r="E125" s="38">
        <v>45167</v>
      </c>
      <c r="F125" t="str">
        <f t="shared" ca="1" si="3"/>
        <v>Brak płatności</v>
      </c>
      <c r="G125">
        <v>190</v>
      </c>
      <c r="H125" s="12" t="s">
        <v>106</v>
      </c>
    </row>
    <row r="126" spans="1:10" x14ac:dyDescent="0.25">
      <c r="A126">
        <v>125</v>
      </c>
      <c r="B126" t="e">
        <f>VLOOKUP(A126,Kursantki!A:B,2,0)</f>
        <v>#N/A</v>
      </c>
      <c r="C126" s="10"/>
      <c r="D126" s="37"/>
      <c r="E126" s="37"/>
      <c r="F126" t="str">
        <f t="shared" ca="1" si="3"/>
        <v>Brak płatności</v>
      </c>
      <c r="H126" s="12"/>
    </row>
    <row r="127" spans="1:10" x14ac:dyDescent="0.25">
      <c r="A127">
        <v>126</v>
      </c>
      <c r="B127" t="e">
        <f>VLOOKUP(A127,Kursantki!A:B,2,0)</f>
        <v>#N/A</v>
      </c>
      <c r="C127" s="10"/>
      <c r="D127" s="38"/>
      <c r="E127" s="38" t="e">
        <f>VLOOKUP(B127,Kursantki!B:H,7,0)</f>
        <v>#N/A</v>
      </c>
      <c r="F127" t="e">
        <f ca="1">IF($E127&gt;$I$1,"Opłacony","Brak płatności")</f>
        <v>#N/A</v>
      </c>
      <c r="H127" s="12"/>
    </row>
    <row r="128" spans="1:10" x14ac:dyDescent="0.25">
      <c r="A128">
        <v>127</v>
      </c>
      <c r="B128" t="str">
        <f>VLOOKUP(A128,Kursantki!A:B,2,0)</f>
        <v>MARTA PTASZYŃSKA</v>
      </c>
      <c r="C128" s="10"/>
      <c r="D128" s="37"/>
      <c r="E128" s="38">
        <v>45147</v>
      </c>
      <c r="F128" t="str">
        <f t="shared" ca="1" si="3"/>
        <v>Brak płatności</v>
      </c>
      <c r="G128">
        <v>150</v>
      </c>
      <c r="H128" s="12" t="s">
        <v>341</v>
      </c>
    </row>
    <row r="129" spans="1:8" x14ac:dyDescent="0.25">
      <c r="A129">
        <v>128</v>
      </c>
      <c r="B129" t="str">
        <f>VLOOKUP(A129,Kursantki!A:B,2,0)</f>
        <v>ZUZANNA ROKICKA</v>
      </c>
      <c r="C129" s="10"/>
      <c r="D129" s="38">
        <v>45029</v>
      </c>
      <c r="E129" s="38">
        <v>45182</v>
      </c>
      <c r="F129" t="str">
        <f t="shared" ca="1" si="3"/>
        <v>Brak płatności</v>
      </c>
      <c r="G129">
        <v>150</v>
      </c>
      <c r="H129" s="34"/>
    </row>
    <row r="130" spans="1:8" x14ac:dyDescent="0.25">
      <c r="A130">
        <v>129</v>
      </c>
      <c r="B130" t="str">
        <f>VLOOKUP(A130,Kursantki!A:B,2,0)</f>
        <v>PATRYCJA LUTYŃSKA</v>
      </c>
      <c r="C130" s="10"/>
      <c r="D130" s="37"/>
      <c r="E130" s="38">
        <v>45182</v>
      </c>
      <c r="F130" t="str">
        <f t="shared" ca="1" si="3"/>
        <v>Brak płatności</v>
      </c>
      <c r="G130">
        <v>160</v>
      </c>
      <c r="H130" s="12"/>
    </row>
    <row r="131" spans="1:8" x14ac:dyDescent="0.25">
      <c r="A131">
        <v>130</v>
      </c>
      <c r="B131" t="str">
        <f>VLOOKUP(A131,Kursantki!A:B,2,0)</f>
        <v>JULIA PAZOŁA</v>
      </c>
      <c r="C131" s="10"/>
      <c r="D131" s="38">
        <v>45002</v>
      </c>
      <c r="E131" s="38">
        <v>45182</v>
      </c>
      <c r="F131" t="str">
        <f t="shared" ca="1" si="3"/>
        <v>Brak płatności</v>
      </c>
      <c r="G131">
        <v>150</v>
      </c>
      <c r="H131" s="34"/>
    </row>
    <row r="132" spans="1:8" x14ac:dyDescent="0.25">
      <c r="A132">
        <v>131</v>
      </c>
      <c r="B132" t="str">
        <f>VLOOKUP(A132,Kursantki!A:B,2,0)</f>
        <v>LENA WOJTASIK</v>
      </c>
      <c r="C132" s="10"/>
      <c r="D132" s="37"/>
      <c r="E132" s="39">
        <v>45174</v>
      </c>
      <c r="F132" t="str">
        <f t="shared" ca="1" si="3"/>
        <v>Brak płatności</v>
      </c>
      <c r="H132" s="12"/>
    </row>
    <row r="133" spans="1:8" x14ac:dyDescent="0.25">
      <c r="A133">
        <v>132</v>
      </c>
      <c r="B133" t="str">
        <f>VLOOKUP(A133,Kursantki!A:B,2,0)</f>
        <v>JULIA PAWLAK</v>
      </c>
      <c r="C133" s="10"/>
      <c r="D133" s="37"/>
      <c r="E133" s="39">
        <v>45141</v>
      </c>
      <c r="F133" t="str">
        <f t="shared" ca="1" si="3"/>
        <v>Brak płatności</v>
      </c>
      <c r="H133" s="12"/>
    </row>
    <row r="134" spans="1:8" x14ac:dyDescent="0.25">
      <c r="A134">
        <v>133</v>
      </c>
      <c r="B134" t="str">
        <f>VLOOKUP(A134,Kursantki!A:B,2,0)</f>
        <v>DARIA ZAREMBA-BRUDER</v>
      </c>
      <c r="C134" s="10"/>
      <c r="D134" s="38">
        <v>45002</v>
      </c>
      <c r="E134" s="38">
        <v>45198</v>
      </c>
      <c r="F134" t="str">
        <f t="shared" ca="1" si="3"/>
        <v>Opłacony</v>
      </c>
      <c r="G134">
        <v>160</v>
      </c>
      <c r="H134" s="12"/>
    </row>
    <row r="135" spans="1:8" x14ac:dyDescent="0.25">
      <c r="A135">
        <v>134</v>
      </c>
      <c r="B135" t="e">
        <f>VLOOKUP(A135,Kursantki!A:B,2,0)</f>
        <v>#N/A</v>
      </c>
      <c r="C135" s="10"/>
      <c r="D135" s="38"/>
      <c r="E135" s="38" t="e">
        <f>VLOOKUP(B135,Kursantki!B:H,7,0)</f>
        <v>#N/A</v>
      </c>
      <c r="F135" t="e">
        <f ca="1">IF($E135&gt;$I$1,"Opłacony","Brak płatności")</f>
        <v>#N/A</v>
      </c>
      <c r="H135" s="12"/>
    </row>
    <row r="136" spans="1:8" x14ac:dyDescent="0.25">
      <c r="A136">
        <v>135</v>
      </c>
      <c r="B136" t="str">
        <f>VLOOKUP(A136,Kursantki!A:B,2,0)</f>
        <v>IZABELA KAŹMIERCZAK</v>
      </c>
      <c r="C136" s="10"/>
      <c r="D136" s="37"/>
      <c r="E136" s="38">
        <v>45196</v>
      </c>
      <c r="F136" t="str">
        <f t="shared" ca="1" si="3"/>
        <v>Opłacony</v>
      </c>
      <c r="H136" s="12"/>
    </row>
    <row r="137" spans="1:8" x14ac:dyDescent="0.25">
      <c r="A137">
        <v>136</v>
      </c>
      <c r="B137" t="str">
        <f>VLOOKUP(A137,Kursantki!A:B,2,0)</f>
        <v>ANTONINA KRAWIEC</v>
      </c>
      <c r="C137" s="10"/>
      <c r="D137" s="38">
        <v>45020</v>
      </c>
      <c r="E137" s="38">
        <v>45203</v>
      </c>
      <c r="F137" t="str">
        <f t="shared" ca="1" si="3"/>
        <v>Opłacony</v>
      </c>
      <c r="H137" s="12"/>
    </row>
    <row r="138" spans="1:8" x14ac:dyDescent="0.25">
      <c r="A138">
        <v>137</v>
      </c>
      <c r="B138" t="str">
        <f>VLOOKUP(A138,Kursantki!A:B,2,0)</f>
        <v>NINA KACZMARCZYK</v>
      </c>
      <c r="C138" s="10"/>
      <c r="D138" s="37"/>
      <c r="E138" s="38">
        <v>45104</v>
      </c>
      <c r="F138" t="str">
        <f t="shared" ca="1" si="3"/>
        <v>Brak płatności</v>
      </c>
      <c r="H138" s="12" t="s">
        <v>53</v>
      </c>
    </row>
    <row r="139" spans="1:8" x14ac:dyDescent="0.25">
      <c r="A139">
        <v>138</v>
      </c>
      <c r="B139" t="str">
        <f>VLOOKUP(A139,Kursantki!A:B,2,0)</f>
        <v>SYLWIA GROBELNA</v>
      </c>
      <c r="C139" s="10"/>
      <c r="D139" s="37"/>
      <c r="E139" s="39">
        <v>45190</v>
      </c>
      <c r="F139" t="str">
        <f t="shared" ca="1" si="3"/>
        <v>Opłacony</v>
      </c>
      <c r="H139" s="12"/>
    </row>
    <row r="140" spans="1:8" x14ac:dyDescent="0.25">
      <c r="A140">
        <v>139</v>
      </c>
      <c r="B140" t="str">
        <f>VLOOKUP(A140,Kursantki!A:B,2,0)</f>
        <v>GRETA TWARDOSZ</v>
      </c>
      <c r="C140" s="10"/>
      <c r="D140" s="37"/>
      <c r="E140" s="39">
        <v>45176</v>
      </c>
      <c r="F140" t="str">
        <f t="shared" ca="1" si="3"/>
        <v>Brak płatności</v>
      </c>
      <c r="H140" s="12"/>
    </row>
    <row r="141" spans="1:8" x14ac:dyDescent="0.25">
      <c r="A141">
        <v>140</v>
      </c>
      <c r="B141" t="str">
        <f>VLOOKUP(A141,Kursantki!A:B,2,0)</f>
        <v>SYLWIA SZYMAŃSKA</v>
      </c>
      <c r="C141" s="10"/>
      <c r="D141" s="37"/>
      <c r="E141" s="39">
        <v>45169</v>
      </c>
      <c r="F141" t="str">
        <f t="shared" ca="1" si="3"/>
        <v>Brak płatności</v>
      </c>
      <c r="H141" s="12"/>
    </row>
    <row r="142" spans="1:8" x14ac:dyDescent="0.25">
      <c r="A142">
        <v>141</v>
      </c>
      <c r="B142" t="str">
        <f>VLOOKUP(A142,Kursantki!A:B,2,0)</f>
        <v>KASIA ŻAK</v>
      </c>
      <c r="C142" s="10"/>
      <c r="D142" s="37"/>
      <c r="E142" s="39">
        <v>45176</v>
      </c>
      <c r="F142" t="str">
        <f t="shared" ca="1" si="3"/>
        <v>Brak płatności</v>
      </c>
      <c r="H142" s="12"/>
    </row>
    <row r="143" spans="1:8" x14ac:dyDescent="0.25">
      <c r="A143">
        <v>142</v>
      </c>
      <c r="B143" t="str">
        <f>VLOOKUP(A143,Kursantki!A:B,2,0)</f>
        <v>KORNELIA GROBLENA</v>
      </c>
      <c r="C143" s="10"/>
      <c r="D143" s="1"/>
      <c r="E143" s="1">
        <v>45141</v>
      </c>
      <c r="F143" t="str">
        <f t="shared" ca="1" si="3"/>
        <v>Brak płatności</v>
      </c>
      <c r="H143" s="12" t="s">
        <v>323</v>
      </c>
    </row>
    <row r="144" spans="1:8" x14ac:dyDescent="0.25">
      <c r="A144">
        <v>143</v>
      </c>
      <c r="B144" t="str">
        <f>VLOOKUP(A144,Kursantki!A:B,2,0)</f>
        <v>ALICJA ADAMCZAK-HAMPELSKA</v>
      </c>
      <c r="C144" s="10"/>
      <c r="D144" s="1"/>
      <c r="E144" s="1">
        <v>45197</v>
      </c>
      <c r="F144" t="str">
        <f t="shared" ca="1" si="3"/>
        <v>Opłacony</v>
      </c>
      <c r="H144" s="12"/>
    </row>
    <row r="145" spans="1:8" x14ac:dyDescent="0.25">
      <c r="A145">
        <v>144</v>
      </c>
      <c r="B145" t="str">
        <f>VLOOKUP(A145,Kursantki!A:B,2,0)</f>
        <v>DOMINIKA SARBINOWSKA</v>
      </c>
      <c r="C145" s="10"/>
      <c r="D145" s="1"/>
      <c r="E145" s="1">
        <f>VLOOKUP(B145,Kursantki!B:H,7,0)</f>
        <v>0</v>
      </c>
      <c r="F145" t="str">
        <f t="shared" ca="1" si="3"/>
        <v>Brak płatności</v>
      </c>
      <c r="H145" s="12"/>
    </row>
    <row r="146" spans="1:8" x14ac:dyDescent="0.25">
      <c r="A146">
        <v>145</v>
      </c>
      <c r="B146" t="str">
        <f>VLOOKUP(A146,Kursantki!A:B,2,0)</f>
        <v xml:space="preserve">NIKOLA RYDIAN </v>
      </c>
      <c r="C146" s="10"/>
      <c r="D146" s="1"/>
      <c r="E146" s="1">
        <v>45154</v>
      </c>
      <c r="F146" t="str">
        <f t="shared" ca="1" si="3"/>
        <v>Brak płatności</v>
      </c>
      <c r="H146" s="12" t="s">
        <v>342</v>
      </c>
    </row>
    <row r="147" spans="1:8" x14ac:dyDescent="0.25">
      <c r="A147">
        <v>146</v>
      </c>
      <c r="B147" t="str">
        <f>VLOOKUP(A147,Kursantki!A:B,2,0)</f>
        <v>ANIA SOBECKA</v>
      </c>
      <c r="C147" s="10"/>
      <c r="D147" s="1"/>
      <c r="E147" s="1">
        <v>45152</v>
      </c>
      <c r="F147" t="str">
        <f t="shared" ca="1" si="3"/>
        <v>Brak płatności</v>
      </c>
      <c r="H147" s="12"/>
    </row>
    <row r="148" spans="1:8" x14ac:dyDescent="0.25">
      <c r="A148">
        <v>147</v>
      </c>
      <c r="B148" t="str">
        <f>VLOOKUP(A148,Kursantki!A:B,2,0)</f>
        <v>MARIA SERWATKA</v>
      </c>
      <c r="C148" s="10"/>
      <c r="D148" s="1"/>
      <c r="E148" s="1">
        <v>45156</v>
      </c>
      <c r="F148" t="str">
        <f t="shared" ca="1" si="3"/>
        <v>Brak płatności</v>
      </c>
      <c r="H148" s="12" t="s">
        <v>343</v>
      </c>
    </row>
    <row r="149" spans="1:8" x14ac:dyDescent="0.25">
      <c r="A149">
        <v>148</v>
      </c>
      <c r="B149" t="str">
        <f>VLOOKUP(A149,Kursantki!A:B,2,0)</f>
        <v>ZUZANNA SARBINOWSKA</v>
      </c>
      <c r="C149" s="10"/>
      <c r="D149" s="1"/>
      <c r="E149" s="1">
        <v>45197</v>
      </c>
      <c r="F149" t="str">
        <f t="shared" ca="1" si="3"/>
        <v>Opłacony</v>
      </c>
      <c r="H149" s="12"/>
    </row>
    <row r="150" spans="1:8" x14ac:dyDescent="0.25">
      <c r="A150">
        <v>149</v>
      </c>
      <c r="B150" t="str">
        <f>VLOOKUP(A150,Kursantki!A:B,2,0)</f>
        <v>EWA BARTOSZ-KAZIMIERSKA</v>
      </c>
      <c r="C150" s="10"/>
      <c r="D150" s="1"/>
      <c r="E150" s="1">
        <f>VLOOKUP(B150,Kursantki!B:H,7,0)</f>
        <v>0</v>
      </c>
      <c r="F150" t="str">
        <f t="shared" ca="1" si="3"/>
        <v>Brak płatności</v>
      </c>
      <c r="H150" s="12"/>
    </row>
    <row r="151" spans="1:8" x14ac:dyDescent="0.25">
      <c r="A151">
        <v>150</v>
      </c>
      <c r="B151" t="str">
        <f>VLOOKUP(A151,Kursantki!A:B,2,0)</f>
        <v>WERONIKA ALEKSANDER</v>
      </c>
      <c r="C151" s="10"/>
      <c r="D151" s="1"/>
      <c r="E151" s="1">
        <v>45195</v>
      </c>
      <c r="F151" t="str">
        <f t="shared" ca="1" si="3"/>
        <v>Opłacony</v>
      </c>
      <c r="H151" s="12" t="s">
        <v>344</v>
      </c>
    </row>
    <row r="152" spans="1:8" x14ac:dyDescent="0.25">
      <c r="A152">
        <v>151</v>
      </c>
      <c r="B152" t="str">
        <f>VLOOKUP(A152,Kursantki!A:B,2,0)</f>
        <v>EMILIA PRZYBYŁ</v>
      </c>
      <c r="C152" s="10"/>
      <c r="D152" s="1"/>
      <c r="E152" s="1">
        <f>VLOOKUP(B152,Kursantki!B:H,7,0)</f>
        <v>0</v>
      </c>
      <c r="F152" t="str">
        <f t="shared" ca="1" si="3"/>
        <v>Brak płatności</v>
      </c>
      <c r="H152" s="12"/>
    </row>
  </sheetData>
  <protectedRanges>
    <protectedRange password="C0A5" sqref="A1:B1048576" name="Range2"/>
    <protectedRange password="C0A5" sqref="D1:G1048576" name="Range1"/>
  </protectedRanges>
  <conditionalFormatting sqref="F2:F152">
    <cfRule type="containsText" dxfId="5" priority="2" operator="containsText" text="Opłacony">
      <formula>NOT(ISERROR(SEARCH("Opłacony",F2)))</formula>
    </cfRule>
  </conditionalFormatting>
  <conditionalFormatting sqref="F2:F152">
    <cfRule type="containsText" dxfId="4" priority="1" operator="containsText" text="Brak płatności">
      <formula>NOT(ISERROR(SEARCH("Brak płatności",F2)))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0" r:id="rId4" name="Button 104">
              <controlPr defaultSize="0" print="0" autoFill="0" autoPict="0" macro="[0]!UpdateDates">
                <anchor moveWithCells="1">
                  <from>
                    <xdr:col>9</xdr:col>
                    <xdr:colOff>219075</xdr:colOff>
                    <xdr:row>0</xdr:row>
                    <xdr:rowOff>47625</xdr:rowOff>
                  </from>
                  <to>
                    <xdr:col>10</xdr:col>
                    <xdr:colOff>257175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5" name="Button 105">
              <controlPr defaultSize="0" print="0" autoFill="0" autoPict="0" macro="[0]!AddDays">
                <anchor moveWithCells="1">
                  <from>
                    <xdr:col>11</xdr:col>
                    <xdr:colOff>257175</xdr:colOff>
                    <xdr:row>0</xdr:row>
                    <xdr:rowOff>47625</xdr:rowOff>
                  </from>
                  <to>
                    <xdr:col>12</xdr:col>
                    <xdr:colOff>352425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Poniedzialek</vt:lpstr>
      <vt:lpstr>Wtorek</vt:lpstr>
      <vt:lpstr>Sroda</vt:lpstr>
      <vt:lpstr>Czwartek</vt:lpstr>
      <vt:lpstr>Piatek</vt:lpstr>
      <vt:lpstr>Sobota</vt:lpstr>
      <vt:lpstr>Kursantki</vt:lpstr>
      <vt:lpstr>Grupy</vt:lpstr>
      <vt:lpstr>Platnosc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Maciej Skrzypczak</dc:creator>
  <cp:keywords/>
  <dc:description/>
  <cp:lastModifiedBy>Maciej Skrzypczak</cp:lastModifiedBy>
  <cp:revision/>
  <dcterms:created xsi:type="dcterms:W3CDTF">2022-11-29T18:36:08Z</dcterms:created>
  <dcterms:modified xsi:type="dcterms:W3CDTF">2023-09-14T10:53:24Z</dcterms:modified>
  <cp:category/>
  <cp:contentStatus/>
</cp:coreProperties>
</file>